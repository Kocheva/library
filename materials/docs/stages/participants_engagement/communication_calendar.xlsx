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pc\Documents\ГРАНИ\Библиотека ДС\"/>
    </mc:Choice>
  </mc:AlternateContent>
  <xr:revisionPtr revIDLastSave="0" documentId="8_{3CFF77FC-29C9-40D7-89E0-C7015A5632CD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Настройки" sheetId="1" r:id="rId1"/>
    <sheet name="Коммуникационный календарь" sheetId="2" r:id="rId2"/>
    <sheet name="Аудитории и каналы" sheetId="3" r:id="rId3"/>
    <sheet name="Шаблоны сообщений" sheetId="4" r:id="rId4"/>
    <sheet name="Статусы и правила" sheetId="5" r:id="rId5"/>
  </sheets>
  <calcPr calcId="181029"/>
  <fileRecoveryPr repairLoad="1"/>
</workbook>
</file>

<file path=xl/calcChain.xml><?xml version="1.0" encoding="utf-8"?>
<calcChain xmlns="http://schemas.openxmlformats.org/spreadsheetml/2006/main">
  <c r="D23" i="2" l="1"/>
  <c r="D22" i="2"/>
  <c r="L21" i="2"/>
  <c r="D21" i="2"/>
  <c r="D20" i="2"/>
  <c r="L19" i="2"/>
  <c r="D19" i="2"/>
  <c r="L18" i="2"/>
  <c r="D18" i="2"/>
  <c r="D17" i="2"/>
  <c r="L16" i="2"/>
  <c r="D16" i="2"/>
  <c r="L15" i="2"/>
  <c r="D15" i="2"/>
  <c r="D14" i="2"/>
  <c r="D13" i="2"/>
  <c r="L12" i="2"/>
  <c r="D12" i="2"/>
  <c r="D11" i="2"/>
  <c r="D10" i="2"/>
  <c r="D9" i="2"/>
  <c r="K5" i="2"/>
  <c r="G5" i="2"/>
  <c r="C5" i="2"/>
  <c r="I5" i="2" s="1"/>
  <c r="A5" i="2"/>
  <c r="E5" i="2" l="1"/>
</calcChain>
</file>

<file path=xl/sharedStrings.xml><?xml version="1.0" encoding="utf-8"?>
<sst xmlns="http://schemas.openxmlformats.org/spreadsheetml/2006/main" count="504" uniqueCount="393">
  <si>
    <t>КОММУНИКАЦИОННЫЙ КАЛЕНДАРЬ • ДЕЛАЙ-САММИТ</t>
  </si>
  <si>
    <t>Настройки кампании. Меняйте значения в столбце B — даты и часть решений в календаре пересчитываются автоматически.</t>
  </si>
  <si>
    <t>Параметр</t>
  </si>
  <si>
    <t>Значение</t>
  </si>
  <si>
    <t>Комментарий</t>
  </si>
  <si>
    <t>Дата Делай-саммита</t>
  </si>
  <si>
    <t>Замените на фактическую дату мероприятия</t>
  </si>
  <si>
    <t>Время начала</t>
  </si>
  <si>
    <t>10:00</t>
  </si>
  <si>
    <t>Для финальных напоминаний</t>
  </si>
  <si>
    <t>Город / площадка</t>
  </si>
  <si>
    <t>[город, площадка]</t>
  </si>
  <si>
    <t>Название площадки</t>
  </si>
  <si>
    <t>Адрес / вход</t>
  </si>
  <si>
    <t>[адрес, ориентир]</t>
  </si>
  <si>
    <t>Добавьте после окончательного подтверждения площадки</t>
  </si>
  <si>
    <t>Ссылка на регистрацию</t>
  </si>
  <si>
    <t>[ссылка]</t>
  </si>
  <si>
    <t>Одна рабочая ссылка во всех приглашениях</t>
  </si>
  <si>
    <t>Цель по регистрациям</t>
  </si>
  <si>
    <t>Сколько регистраций нужно получить</t>
  </si>
  <si>
    <t>Лимит участников</t>
  </si>
  <si>
    <t>Максимальная вместимость / лимит регистрации</t>
  </si>
  <si>
    <t>Факт регистраций</t>
  </si>
  <si>
    <t>Обновляйте по данным формы регистрации</t>
  </si>
  <si>
    <t>Факт подтверждений</t>
  </si>
  <si>
    <t>Если подтверждение явки используется</t>
  </si>
  <si>
    <t>Факт явки</t>
  </si>
  <si>
    <t>Заполните после события для оценки кампании</t>
  </si>
  <si>
    <t>Ответственный за коммуникации</t>
  </si>
  <si>
    <t>[ФИО]</t>
  </si>
  <si>
    <t>Один владелец календаря и финальной версии сообщений</t>
  </si>
  <si>
    <t>Рабочий канал команды</t>
  </si>
  <si>
    <t>[чат / мессенджер]</t>
  </si>
  <si>
    <t>Источник правды по изменениям</t>
  </si>
  <si>
    <t>Порог точечного добора</t>
  </si>
  <si>
    <t>Если к контрольной точке меньше этого % от цели — включаем точечный добор</t>
  </si>
  <si>
    <t>Порог остановки широкой кампании</t>
  </si>
  <si>
    <t>При достижении этого % от лимита широкую рекламу лучше остановить</t>
  </si>
  <si>
    <t>Учреждения входят в целевые группы?</t>
  </si>
  <si>
    <t>Да</t>
  </si>
  <si>
    <t>Если нет — соответствующий шаг можно пропустить</t>
  </si>
  <si>
    <t>Нужно подтверждение явки?</t>
  </si>
  <si>
    <t>Полезно при лимите мест, питании или сложной логистике</t>
  </si>
  <si>
    <t>Нужен личный контроль ключевых участников?</t>
  </si>
  <si>
    <t>Для ведущих, партнёров, представителей учреждений</t>
  </si>
  <si>
    <t>Сложный вход / есть изменения в день события?</t>
  </si>
  <si>
    <t>Нет</t>
  </si>
  <si>
    <t>Если да — оправдано сообщение утром события</t>
  </si>
  <si>
    <t>КОММУНИКАЦИОННЫЙ КАЛЕНДАРЬ • ПРИГЛАШЕНИЕ УЧАСТНИКОВ ДЕЛАЙ-САММИТА</t>
  </si>
  <si>
    <t>ЛОГИКА</t>
  </si>
  <si>
    <t>Обязательные — по плану</t>
  </si>
  <si>
    <t>Условные — только по данным</t>
  </si>
  <si>
    <t>После регистрации — без повторных приглашений</t>
  </si>
  <si>
    <t>ЦЕЛЬ РЕГИСТРАЦИЙ</t>
  </si>
  <si>
    <t>ФАКТ РЕГИСТРАЦИЙ</t>
  </si>
  <si>
    <t>% ЦЕЛИ</t>
  </si>
  <si>
    <t>ЛИМИТ</t>
  </si>
  <si>
    <t>% ЛИМИТА</t>
  </si>
  <si>
    <t>ТЕКУЩИЙ РЕЖИМ КАМПАНИИ</t>
  </si>
  <si>
    <t>Тип шага</t>
  </si>
  <si>
    <t>Этап</t>
  </si>
  <si>
    <t>Срок</t>
  </si>
  <si>
    <t>Дата</t>
  </si>
  <si>
    <t>Кому</t>
  </si>
  <si>
    <t>Статусы аудитории / исключения</t>
  </si>
  <si>
    <t>Задача</t>
  </si>
  <si>
    <t>Сообщение / контент</t>
  </si>
  <si>
    <t>Канал</t>
  </si>
  <si>
    <t>CTA</t>
  </si>
  <si>
    <t>Условие запуска</t>
  </si>
  <si>
    <t>Решение сейчас</t>
  </si>
  <si>
    <t>Ответственный</t>
  </si>
  <si>
    <t>Статус</t>
  </si>
  <si>
    <t>План охвата</t>
  </si>
  <si>
    <t>Факт охвата</t>
  </si>
  <si>
    <t>Переходы</t>
  </si>
  <si>
    <t>Регистрации</t>
  </si>
  <si>
    <t>Подтверждения</t>
  </si>
  <si>
    <t>Примечание</t>
  </si>
  <si>
    <t>Обязательный</t>
  </si>
  <si>
    <t>Старт кампании</t>
  </si>
  <si>
    <t>T–6 недель</t>
  </si>
  <si>
    <t>Все целевые группы</t>
  </si>
  <si>
    <t>Отправлять: потенциальные. Исключить: зарегистрированные, отказавшиеся, «не получать сообщения».</t>
  </si>
  <si>
    <t>Объяснить, что такое Делай-саммит и открыть регистрацию</t>
  </si>
  <si>
    <t>Первый анонс: тема, для кого саммит, что будет происходить, чем участие полезно. Без перегруза деталями.</t>
  </si>
  <si>
    <t>Сайт / соцсети / рассылка</t>
  </si>
  <si>
    <t>Зарегистрироваться</t>
  </si>
  <si>
    <t>Всегда</t>
  </si>
  <si>
    <t>ВЫПОЛНИТЬ</t>
  </si>
  <si>
    <t>Не начато</t>
  </si>
  <si>
    <t>Открыть регистрацию одновременно с первым анонсом.</t>
  </si>
  <si>
    <t>Партнёрская волна</t>
  </si>
  <si>
    <t>T–5 недель</t>
  </si>
  <si>
    <t>Аудитории партнёров</t>
  </si>
  <si>
    <t>Потенциальные / приглашённые. Не отправлять тем, кто уже зарегистрирован.</t>
  </si>
  <si>
    <t>Расширить охват за пределы собственных каналов</t>
  </si>
  <si>
    <t>Готовый пакет партнёру: короткий и длинный текст, визуал, одна ссылка на регистрацию.</t>
  </si>
  <si>
    <t>Партнёрские рассылки / соцсети</t>
  </si>
  <si>
    <t>Зарегистрироваться / переслать коллегам</t>
  </si>
  <si>
    <t>Партнёру не нужно переписывать анонс самостоятельно.</t>
  </si>
  <si>
    <t>Персональные приглашения</t>
  </si>
  <si>
    <t>Ключевые НКО / эксперты / сообщества</t>
  </si>
  <si>
    <t>Потенциальные. После регистрации исключить из дальнейшего приглашения.</t>
  </si>
  <si>
    <t>Обеспечить представительность ключевых групп</t>
  </si>
  <si>
    <t>Почему зовём именно их + релевантная тема / формат + чем участие может быть полезно.</t>
  </si>
  <si>
    <t>E-mail / мессенджер / звонок</t>
  </si>
  <si>
    <t>Ответить / зарегистрироваться</t>
  </si>
  <si>
    <t>Качество списка важнее масштаба. Персонализировать 1–2 фразы.</t>
  </si>
  <si>
    <t>Условный</t>
  </si>
  <si>
    <t>Работа с учреждениями</t>
  </si>
  <si>
    <t>T–4,5 недели</t>
  </si>
  <si>
    <t>Учреждения / муниципальные структуры</t>
  </si>
  <si>
    <t>Потенциальные представители учреждений. Исключить уже подтвердивших участие.</t>
  </si>
  <si>
    <t>Запустить более медленный цикл согласования</t>
  </si>
  <si>
    <t>Короткое официальное приглашение: цель, роль представителя, формат участия и срок ответа.</t>
  </si>
  <si>
    <t>Официальное письмо + звонок</t>
  </si>
  <si>
    <t>Определить представителя / дать ответ</t>
  </si>
  <si>
    <t>Только если учреждения входят в целевые группы.</t>
  </si>
  <si>
    <t>Через 2–3 рабочих дня проверить получение через приёмную / секретаря.</t>
  </si>
  <si>
    <t>Показать ценность программы</t>
  </si>
  <si>
    <t>T–3 недели</t>
  </si>
  <si>
    <t>Потенциальные + приглашённые</t>
  </si>
  <si>
    <t>Не отправлять зарегистрированным как призыв к регистрации; им можно показать программу без CTA «зарегистрируйтесь».</t>
  </si>
  <si>
    <t>Снизить сомнения и показать практический формат</t>
  </si>
  <si>
    <t>Объединённое касание: 2–3 живых формата + пример «что вы будете делать» + возможный результат участия.</t>
  </si>
  <si>
    <t>Соцсети / e-mail / мессенджеры</t>
  </si>
  <si>
    <t>Посмотреть программу / зарегистрироваться</t>
  </si>
  <si>
    <t>Объединяет прежние отдельные касания «ценность программы» и «истории / примеры».</t>
  </si>
  <si>
    <t>Контроль регистрации</t>
  </si>
  <si>
    <t>T–2,5 недели</t>
  </si>
  <si>
    <t>Команда организаторов</t>
  </si>
  <si>
    <t>Внутренняя коммуникация.</t>
  </si>
  <si>
    <t>Понять, кого и сколько не хватает</t>
  </si>
  <si>
    <t>Сверить факт регистраций с целью и составом аудитории: НКО / жители / бизнес / учреждения / другие группы.</t>
  </si>
  <si>
    <t>Внутренний созвон + таблица</t>
  </si>
  <si>
    <t>Принять решение о доборе</t>
  </si>
  <si>
    <t>Проверять не только число, но и структуру аудитории.</t>
  </si>
  <si>
    <t>Точечный добор</t>
  </si>
  <si>
    <t>T–2 недели</t>
  </si>
  <si>
    <t>Недопредставленные группы</t>
  </si>
  <si>
    <t>Только потенциальные / приглашённые из дефицитного сегмента. Исключить зарегистрированных и отказавшихся.</t>
  </si>
  <si>
    <t>Добрать нужную аудиторию без новой массовой волны</t>
  </si>
  <si>
    <t>Персональные приглашения и звонки конкретным организациям / людям с ценностью именно для их задач.</t>
  </si>
  <si>
    <t>E-mail / звонок / мессенджер</t>
  </si>
  <si>
    <t>Подтвердить участие</t>
  </si>
  <si>
    <t>Запускать, если к контрольной точке регистраций меньше установленного % цели или есть перекос по сегментам.</t>
  </si>
  <si>
    <t>Лучше 30 точных контактов, чем ещё одна широкая рассылка.</t>
  </si>
  <si>
    <t>Последняя широкая волна</t>
  </si>
  <si>
    <t>T–7 дней</t>
  </si>
  <si>
    <t>Потенциальные участники</t>
  </si>
  <si>
    <t>Только незарегистрированные. Исключить отказавшихся, лист ожидания и «не получать сообщения».</t>
  </si>
  <si>
    <t>Закрыть существенный остаток мест, если он есть</t>
  </si>
  <si>
    <t>«Через неделю»: конкретные форматы, кому особенно полезно, сколько мест осталось — только если это правда.</t>
  </si>
  <si>
    <t>Соцсети / партнёры / рассылка</t>
  </si>
  <si>
    <t>Не запускать, если достигнут порог заполнения лимита или цель уже закрыта.</t>
  </si>
  <si>
    <t>При заполнении лимита переключить коммуникацию на лист ожидания.</t>
  </si>
  <si>
    <t>Организационная информация</t>
  </si>
  <si>
    <t>T–5 дней</t>
  </si>
  <si>
    <t>Зарегистрированные</t>
  </si>
  <si>
    <t>Только зарегистрированные / подтверждённые. Не отправлять потенциальным.</t>
  </si>
  <si>
    <t>Снизить неопределённость и предотвратить потери по дороге</t>
  </si>
  <si>
    <t>Адрес, вход, схема, регистрация на площадке, время старта, контакт, правила площадки, что взять с собой.</t>
  </si>
  <si>
    <t>E-mail + мессенджер</t>
  </si>
  <si>
    <t>Сохранить письмо / проверить маршрут</t>
  </si>
  <si>
    <t>Логистика — отдельным коротким сообщением, а не внутри длинного анонса.</t>
  </si>
  <si>
    <t>Подтверждение явки</t>
  </si>
  <si>
    <t>T–3 дня</t>
  </si>
  <si>
    <t>Только зарегистрированные, которые ещё не подтвердили. Не писать подтвердившим и отказавшимся.</t>
  </si>
  <si>
    <t>Понять реальную явку и освободить ненужные места</t>
  </si>
  <si>
    <t>Коротко: «Планируете быть?» + простое подтверждение / отказ.</t>
  </si>
  <si>
    <t>E-mail / мессенджер</t>
  </si>
  <si>
    <t>Подтвердить / отменить</t>
  </si>
  <si>
    <t>Использовать при ограниченной вместимости, заказе питания или сложной логистике.</t>
  </si>
  <si>
    <t>Если свободных мест много и питание не зависит от явки — этот шаг можно пропустить.</t>
  </si>
  <si>
    <t>Личный контроль ключевых участников</t>
  </si>
  <si>
    <t>T–2 дня</t>
  </si>
  <si>
    <t>Ведущие / партнёры / ключевые представители</t>
  </si>
  <si>
    <t>Только критически важные участники. Не масштабировать на всю базу.</t>
  </si>
  <si>
    <t>Не потерять людей, от которых зависит программа / представительность</t>
  </si>
  <si>
    <t>Личное сообщение или звонок: время, место, роль, контакт на площадке.</t>
  </si>
  <si>
    <t>Мессенджер / звонок</t>
  </si>
  <si>
    <t>Подтвердить</t>
  </si>
  <si>
    <t>Только для заранее определённого списка ключевых людей.</t>
  </si>
  <si>
    <t>Список ключевых участников лучше определить на контрольной точке T–2,5 недели.</t>
  </si>
  <si>
    <t>Финальное напоминание</t>
  </si>
  <si>
    <t>T–1 день</t>
  </si>
  <si>
    <t>Зарегистрированные / подтверждённые</t>
  </si>
  <si>
    <t>Зарегистрированные, которые не отказались. При листе ожидания — отдельная коммуникация.</t>
  </si>
  <si>
    <t>Довести участника до площадки</t>
  </si>
  <si>
    <t>Очень коротко: завтра, время, адрес, вход, маршрут / программа, контакт организатора.</t>
  </si>
  <si>
    <t>Мессенджер / e-mail</t>
  </si>
  <si>
    <t>Прийти вовремя</t>
  </si>
  <si>
    <t>Не добавлять новые большие смысловые блоки.</t>
  </si>
  <si>
    <t>Сообщение утром события</t>
  </si>
  <si>
    <t>T0</t>
  </si>
  <si>
    <t>Подтверждённые участники</t>
  </si>
  <si>
    <t>Только если сложный вход, перенос, изменение времени / зала или другая реально полезная информация.</t>
  </si>
  <si>
    <t>Снизить опоздания и ошибки маршрута</t>
  </si>
  <si>
    <t>Одно экранное сообщение: сегодня, старт, вход / изменение, телефон.</t>
  </si>
  <si>
    <t>Мессенджер</t>
  </si>
  <si>
    <t>Доехать / найти вход</t>
  </si>
  <si>
    <t>Не отправлять по умолчанию; только если есть практическая причина.</t>
  </si>
  <si>
    <t>Обычное повторение вчерашнего письма — лишнее касание.</t>
  </si>
  <si>
    <t>Спасибо и обратная связь</t>
  </si>
  <si>
    <t>T+1 день</t>
  </si>
  <si>
    <t>Пришедшие участники</t>
  </si>
  <si>
    <t>Только фактические участники. Не писать «спасибо за участие» тем, кто не пришёл.</t>
  </si>
  <si>
    <t>Закрыть цикл и собрать обратную связь</t>
  </si>
  <si>
    <t>Спасибо + 2–3 результата дня + короткая форма обратной связи + срок, когда будут материалы.</t>
  </si>
  <si>
    <t>Дать обратную связь</t>
  </si>
  <si>
    <t>Для не пришедших при необходимости — отдельное нейтральное письмо с материалами позже.</t>
  </si>
  <si>
    <t>Итоговые материалы</t>
  </si>
  <si>
    <t>T+3–7 дней</t>
  </si>
  <si>
    <t>Участники + партнёры</t>
  </si>
  <si>
    <t>Пришедшие; партнёры. Не получать сообщения — исключить.</t>
  </si>
  <si>
    <t>Вернуть результаты и поддержать продолжение</t>
  </si>
  <si>
    <t>Фото, итоги, материалы сессий, следующие шаги и контакты.</t>
  </si>
  <si>
    <t>E-mail / сайт / соцсети</t>
  </si>
  <si>
    <t>Использовать материалы / продолжить контакт</t>
  </si>
  <si>
    <t>Лучше один качественный итоговый пакет, чем несколько разрозненных сообщений.</t>
  </si>
  <si>
    <t>АУДИТОРИИ И КАНАЛЫ • ДЕЛАЙ-САММИТ</t>
  </si>
  <si>
    <t>Используйте лист для сегментации: каждой группе — своя ценность, свой канал и свои исключения. Зарегистрированных больше не зовём «зарегистрироваться».</t>
  </si>
  <si>
    <t>Сегмент</t>
  </si>
  <si>
    <t>Что им важно</t>
  </si>
  <si>
    <t>Типичный барьер</t>
  </si>
  <si>
    <t>Основной канал</t>
  </si>
  <si>
    <t>Доп. канал</t>
  </si>
  <si>
    <t>Лучший CTA</t>
  </si>
  <si>
    <t>Как персонализировать</t>
  </si>
  <si>
    <t>Кому НЕ отправлять</t>
  </si>
  <si>
    <t>НКО и инициативные группы</t>
  </si>
  <si>
    <t>Практические форматы, контакты, обмен опытом, партнёрства</t>
  </si>
  <si>
    <t>«Ещё одно мероприятие без пользы»</t>
  </si>
  <si>
    <t>Персональный e-mail / мессенджер</t>
  </si>
  <si>
    <t>Партнёрские НКО-рассылки</t>
  </si>
  <si>
    <t>Выбрать полезный блок и зарегистрироваться</t>
  </si>
  <si>
    <t>Показать 1–2 сессии под их текущие задачи; назвать, с кем можно познакомиться</t>
  </si>
  <si>
    <t>Уже зарегистрированным — не повторять приглашение; отказавшимся и «не получать сообщения» — исключить</t>
  </si>
  <si>
    <t>Понимание запросов территории, контакты с НКО, рабочие решения</t>
  </si>
  <si>
    <t>Нужно внутреннее согласование; медленная коммуникация</t>
  </si>
  <si>
    <t>Официальное письмо</t>
  </si>
  <si>
    <t>Звонок через приёмную / секретаря</t>
  </si>
  <si>
    <t>Определить представителя до даты</t>
  </si>
  <si>
    <t>Коротко: цель, роль представителя, формат и срок ответа</t>
  </si>
  <si>
    <t>Не дублировать приглашение после подтверждения представителя</t>
  </si>
  <si>
    <t>Бизнес / профессиональные сообщества</t>
  </si>
  <si>
    <t>Партнёрства, социальная повестка, компетенции, локальные связи</t>
  </si>
  <si>
    <t>Неочевидно, зачем тратить время</t>
  </si>
  <si>
    <t>Персональное приглашение / ассоциации</t>
  </si>
  <si>
    <t>Деловые чаты / e-mail</t>
  </si>
  <si>
    <t>Зарегистрироваться / направить коллегу</t>
  </si>
  <si>
    <t>Связать программу с конкретной темой: партнёрство, волонтёрство, городские задачи</t>
  </si>
  <si>
    <t>Исключить зарегистрированных, отказавшихся и «не получать сообщения»</t>
  </si>
  <si>
    <t>Жители / активисты</t>
  </si>
  <si>
    <t>Понятная польза для жизни в городе, возможность быть услышанными</t>
  </si>
  <si>
    <t>Не понимают формат; боятся «конференции для специалистов»</t>
  </si>
  <si>
    <t>Соцсети / локальные сообщества</t>
  </si>
  <si>
    <t>Партнёрские каналы</t>
  </si>
  <si>
    <t>Посмотреть, что можно делать на саммите, и зарегистрироваться</t>
  </si>
  <si>
    <t>Объяснить простыми словами, что будет происходить шаг за шагом</t>
  </si>
  <si>
    <t>После регистрации переводить в цепочку организационной информации</t>
  </si>
  <si>
    <t>Волонтёры / молодёжные сообщества</t>
  </si>
  <si>
    <t>Активное участие, знакомства, полезный опыт</t>
  </si>
  <si>
    <t>Сомнение, что будет интересно / можно реально включиться</t>
  </si>
  <si>
    <t>Мессенджеры / сообщества</t>
  </si>
  <si>
    <t>Соцсети</t>
  </si>
  <si>
    <t>Выбрать активность / роль и зарегистрироваться</t>
  </si>
  <si>
    <t>Показывать живые форматы, действия и конкретные роли</t>
  </si>
  <si>
    <t>Не отправлять набор участника тем, кто уже вошёл в волонтёрскую команду</t>
  </si>
  <si>
    <t>Эксперты / лидеры сообществ</t>
  </si>
  <si>
    <t>Содержательный разговор, влияние на решения, профессиональные контакты</t>
  </si>
  <si>
    <t>Высокая загрузка, много приглашений</t>
  </si>
  <si>
    <t>Персональное обращение</t>
  </si>
  <si>
    <t>Звонок / рекомендация общего контакта</t>
  </si>
  <si>
    <t>Объяснить, почему важен именно их опыт и в какой сессии он нужен</t>
  </si>
  <si>
    <t>После подтверждения — только организационные сообщения / личный контроль при необходимости</t>
  </si>
  <si>
    <t>Партнёры как канал распространения</t>
  </si>
  <si>
    <t>Готовый пакет, минимум дополнительной работы</t>
  </si>
  <si>
    <t>Нет времени переписывать анонс под себя</t>
  </si>
  <si>
    <t>Готовый пакет материалов</t>
  </si>
  <si>
    <t>Личный контакт координатора</t>
  </si>
  <si>
    <t>Опубликовать / переслать до даты</t>
  </si>
  <si>
    <t>Дать короткий и длинный текст, визуал и одну рабочую ссылку</t>
  </si>
  <si>
    <t>Не просить повторную публикацию без новой причины / заметного обновления</t>
  </si>
  <si>
    <t>ШАБЛОНЫ СООБЩЕНИЙ • ПРИГЛАШЕНИЕ УЧАСТНИКОВ</t>
  </si>
  <si>
    <t>Короткие заготовки под новую логику календаря. Перед отправкой замените поля в [квадратных скобках] и исключите тех, кому сообщение уже не актуально.</t>
  </si>
  <si>
    <t>Для кого</t>
  </si>
  <si>
    <t>Тема / начало</t>
  </si>
  <si>
    <t>Текст</t>
  </si>
  <si>
    <t>Не отправлять / условие</t>
  </si>
  <si>
    <t>Первый анонс</t>
  </si>
  <si>
    <t>Делай-саммит [город]: регистрация открыта</t>
  </si>
  <si>
    <t>Приглашаем на Делай-саммит [дата]. Это день практической работы: [2–3 примера форматов / задач]. Саммит будет полезен [кому]. Вы сможете [2–3 конкретные пользы].</t>
  </si>
  <si>
    <t>Зарегистрироваться: [ссылка]</t>
  </si>
  <si>
    <t>Не отправлять уже зарегистрированным, отказавшимся и тем, кто попросил не присылать сообщения.</t>
  </si>
  <si>
    <t>Пакет партнёру</t>
  </si>
  <si>
    <t>Партнёры-распространители</t>
  </si>
  <si>
    <t>Материалы для приглашения на Делай-саммит</t>
  </si>
  <si>
    <t>Будем благодарны, если вы поделитесь приглашением с [аудитория]. Ниже — готовый короткий текст, визуал и ссылка на регистрацию. Можно публиковать без дополнительной редакции.</t>
  </si>
  <si>
    <t>Опубликовать / переслать до [дата]</t>
  </si>
  <si>
    <t>Не просить повторную публикацию без новой информационной причины.</t>
  </si>
  <si>
    <t>Персональное приглашение</t>
  </si>
  <si>
    <t>Ключевая НКО / эксперт</t>
  </si>
  <si>
    <t>[Имя], хотим пригласить вас на Делай-саммит</t>
  </si>
  <si>
    <t>Мы готовим Делай-саммит [дата]. В программе есть [сессия / тема], где особенно важен опыт [организация / человек] в [тема]. Думаем, вам также могут быть полезны [формат / контакт / результат].</t>
  </si>
  <si>
    <t>Если откликается — зарегистрируйтесь: [ссылка]</t>
  </si>
  <si>
    <t>После регистрации больше не отправлять приглашения.</t>
  </si>
  <si>
    <t>Для учреждения</t>
  </si>
  <si>
    <t>Учреждение / муниципальная структура</t>
  </si>
  <si>
    <t>Приглашение к участию в Делай-саммите [дата]</t>
  </si>
  <si>
    <t>Делай-саммит объединит [кто] для работы над [темы]. Приглашаем представителя [организация] принять участие в [релевантные блоки]. Просим по возможности определить участника до [дата].</t>
  </si>
  <si>
    <t>Подтвердить представителя: [контакт / ссылка]</t>
  </si>
  <si>
    <t>Использовать только если учреждения входят в целевые группы.</t>
  </si>
  <si>
    <t>Ценность программы</t>
  </si>
  <si>
    <t>Потенциальные / приглашённые</t>
  </si>
  <si>
    <t>Что будет происходить на Делай-саммите</t>
  </si>
  <si>
    <t>На саммите участники не только слушают. Например, в [формат] вы сможете [действие / результат], а в [формат] — [действие / результат]. Если вам важна тема [тема], приходите работать вместе.</t>
  </si>
  <si>
    <t>Зарегистрированным можно отправить без CTA «зарегистрироваться» или не отправлять вовсе.</t>
  </si>
  <si>
    <t>Недопредставленный сегмент</t>
  </si>
  <si>
    <t>[Имя / организация], приглашаем именно вас</t>
  </si>
  <si>
    <t>Сейчас в составе участников нам особенно важно усилить присутствие [сегмент]. На саммите для вас релевантны [1–2 блока]. Будем рады, если вы сможете присоединиться или направить коллегу.</t>
  </si>
  <si>
    <t>Подтвердить участие / зарегистрироваться</t>
  </si>
  <si>
    <t>Только при дефиците сегмента или недостатке регистраций; не массовая рассылка.</t>
  </si>
  <si>
    <t>Организационное письмо</t>
  </si>
  <si>
    <t>Как попасть на Делай-саммит: адрес, вход, время</t>
  </si>
  <si>
    <t>Ждём вас [дата]. Регистрация с [время], начало — [время]. Адрес: [адрес]. Вход: [ориентир]. Маршрут: [ссылка]. Контакт в день события: [телефон].</t>
  </si>
  <si>
    <t>Сохранить маршрут и прийти к [время]</t>
  </si>
  <si>
    <t>Только зарегистрированным / подтверждённым.</t>
  </si>
  <si>
    <t>Зарегистрированные без подтверждения</t>
  </si>
  <si>
    <t>Подтвердите, пожалуйста, участие</t>
  </si>
  <si>
    <t>До Делай-саммита осталось несколько дней. Планируете быть? Если планы изменились, пожалуйста, сообщите — это поможет корректно рассчитать места и передать их другим участникам.</t>
  </si>
  <si>
    <t>Только если подтверждение действительно нужно; не отправлять уже подтвердившим.</t>
  </si>
  <si>
    <t>Делай-саммит уже завтра</t>
  </si>
  <si>
    <t>Завтра встречаемся на Делай-саммите. Старт — [время], адрес — [адрес], вход — [ориентир]. Программа: [ссылка]. Если потеряетесь или задержитесь: [телефон].</t>
  </si>
  <si>
    <t>До встречи!</t>
  </si>
  <si>
    <t>Не добавлять новые смысловые блоки. Исключить отказавшихся.</t>
  </si>
  <si>
    <t>Утро события</t>
  </si>
  <si>
    <t>Подтверждённые</t>
  </si>
  <si>
    <t>Сегодня — Делай-саммит</t>
  </si>
  <si>
    <t>Сегодня встречаемся в [площадка]. Начинаем в [время]. Вход: [ориентир / изменение]. Контакт: [телефон].</t>
  </si>
  <si>
    <t>Только при сложном входе, изменениях или иной практической необходимости.</t>
  </si>
  <si>
    <t>Пришедшие</t>
  </si>
  <si>
    <t>Спасибо за участие в Делай-саммите</t>
  </si>
  <si>
    <t>Спасибо, что были с нами. Сегодня мы [2–3 коротких результата]. Будем благодарны за обратную связь: [ссылка]. Итоговые материалы направим до [дата].</t>
  </si>
  <si>
    <t>Не отправлять как «спасибо за участие» тем, кто не пришёл.</t>
  </si>
  <si>
    <t>Материалы и итоги Делай-саммита</t>
  </si>
  <si>
    <t>Собрали материалы Делай-саммита: [ссылка]. Внутри — [что есть]. Следующие шаги: [если есть]. Спасибо за участие и партнёрство.</t>
  </si>
  <si>
    <t>Открыть материалы / продолжить контакт</t>
  </si>
  <si>
    <t>Исключить тех, кто попросил не получать сообщения.</t>
  </si>
  <si>
    <t>СТАТУСЫ АУДИТОРИИ И ПРАВИЛА РАССЫЛКИ</t>
  </si>
  <si>
    <t>Главное правило: после изменения статуса человека меняется и цепочка сообщений. Это защищает аудиторию от лишних приглашений и повторов.</t>
  </si>
  <si>
    <t>Что означает</t>
  </si>
  <si>
    <t>Можно приглашать?</t>
  </si>
  <si>
    <t>Оргинформация</t>
  </si>
  <si>
    <t>После события</t>
  </si>
  <si>
    <t>Исключения / правило</t>
  </si>
  <si>
    <t>Потенциальный</t>
  </si>
  <si>
    <t>Есть в целевой базе, приглашение ещё не отправлено</t>
  </si>
  <si>
    <t>Можно получать широкие и сегментные приглашения.</t>
  </si>
  <si>
    <t>Приглашён</t>
  </si>
  <si>
    <t>Приглашение отправлено, регистрации пока нет</t>
  </si>
  <si>
    <t>Да, но только осмысленный follow-up</t>
  </si>
  <si>
    <t>Не дублировать одинаковое приглашение; следующий контакт должен иметь новую причину.</t>
  </si>
  <si>
    <t>Зарегистрирован</t>
  </si>
  <si>
    <t>Заполнил регистрацию</t>
  </si>
  <si>
    <t>Да, если пришёл</t>
  </si>
  <si>
    <t>Исключить из всех дальнейших CTA «зарегистрироваться».</t>
  </si>
  <si>
    <t>Подтвердил</t>
  </si>
  <si>
    <t>Подтвердил, что планирует прийти</t>
  </si>
  <si>
    <t>Не отправлять повторный запрос подтверждения.</t>
  </si>
  <si>
    <t>Отказался</t>
  </si>
  <si>
    <t>Сообщил, что не придёт</t>
  </si>
  <si>
    <t>При необходимости — материалы без давления</t>
  </si>
  <si>
    <t>Исключить из напоминаний и добора.</t>
  </si>
  <si>
    <t>Лист ожидания</t>
  </si>
  <si>
    <t>Место пока не подтверждено</t>
  </si>
  <si>
    <t>Нет обычного приглашения</t>
  </si>
  <si>
    <t>Отдельная информация</t>
  </si>
  <si>
    <t>Только после подтверждения места</t>
  </si>
  <si>
    <t>Не создавать ожидание, что место уже есть.</t>
  </si>
  <si>
    <t>Пришёл</t>
  </si>
  <si>
    <t>Фактически участвовал</t>
  </si>
  <si>
    <t>—</t>
  </si>
  <si>
    <t>Получает благодарность, обратную связь и итоговые материалы.</t>
  </si>
  <si>
    <t>Не пришёл</t>
  </si>
  <si>
    <t>Был зарегистрирован, но не пришёл</t>
  </si>
  <si>
    <t>Материалы — при необходимости</t>
  </si>
  <si>
    <t>Не писать «спасибо за участие»; можно нейтрально отправить материалы.</t>
  </si>
  <si>
    <t>Не получать сообщения</t>
  </si>
  <si>
    <t>Отписался / попросил не писать</t>
  </si>
  <si>
    <t>Исключить из всех необязательных коммуникаций.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</si>
</sst>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>
    <font>
      <sz val="11"/>
      <name val="Carlito"/>
    </font>
    <font>
      <b/>
      <sz val="16"/>
      <color rgb="FFFFFFFF"/>
      <name val="Carlito"/>
    </font>
    <font>
      <i/>
      <sz val="10"/>
      <color rgb="FF7A87A2"/>
      <name val="Carlito"/>
    </font>
    <font>
      <b/>
      <sz val="11"/>
      <color rgb="FFFFFFFF"/>
      <name val="Carlito"/>
    </font>
    <font>
      <sz val="11"/>
      <color rgb="FF666666"/>
      <name val="Carlito"/>
    </font>
    <font>
      <b/>
      <sz val="8"/>
      <color rgb="FFFFFFFF"/>
      <name val="Carlito"/>
    </font>
    <font>
      <i/>
      <sz val="9"/>
      <color rgb="FF7A87A2"/>
      <name val="Carlito"/>
    </font>
    <font>
      <b/>
      <sz val="11"/>
      <color rgb="FF000000"/>
      <name val="Carlito"/>
    </font>
    <font>
      <sz val="9"/>
      <color rgb="FF7A87A2"/>
      <name val="Carlito"/>
    </font>
    <font>
      <b/>
      <sz val="8"/>
      <color rgb="FF7A87A2"/>
      <name val="Carlito"/>
    </font>
    <font>
      <b/>
      <sz val="11"/>
      <name val="Carlito"/>
    </font>
    <font>
      <i/>
      <sz val="8"/>
      <color rgb="FF7A87A2"/>
      <name val="Carlito"/>
    </font>
    <font>
      <b/>
      <i/>
      <sz val="8"/>
      <color rgb="FFE51A4B"/>
      <name val="Carlito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E51A4B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AFBFC"/>
      </patternFill>
    </fill>
    <fill>
      <patternFill patternType="solid">
        <fgColor rgb="FFE51A4B"/>
      </patternFill>
    </fill>
    <fill>
      <patternFill patternType="solid">
        <fgColor rgb="FFF4F6F8"/>
      </patternFill>
    </fill>
    <fill>
      <patternFill patternType="solid">
        <fgColor rgb="FF7A87A2"/>
      </patternFill>
    </fill>
    <fill>
      <patternFill patternType="solid">
        <fgColor rgb="FFFFF8D8"/>
      </patternFill>
    </fill>
    <fill>
      <patternFill patternType="solid">
        <fgColor rgb="FFEEF2F5"/>
      </patternFill>
    </fill>
    <fill>
      <patternFill patternType="solid">
        <fgColor rgb="FFFFFFFF"/>
      </patternFill>
    </fill>
    <fill>
      <patternFill patternType="solid">
        <fgColor rgb="FFEAF6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39">
    <xf numFmtId="0" fontId="0" fillId="0" borderId="0" xfId="0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  <xf numFmtId="164" fontId="0" fillId="4" borderId="1" xfId="1" applyNumberFormat="1" applyFont="1" applyFill="1" applyBorder="1" applyAlignment="1">
      <alignment wrapText="1"/>
    </xf>
    <xf numFmtId="0" fontId="4" fillId="0" borderId="1" xfId="1" applyFont="1" applyBorder="1" applyAlignment="1">
      <alignment wrapText="1"/>
    </xf>
    <xf numFmtId="0" fontId="0" fillId="4" borderId="1" xfId="1" applyFont="1" applyFill="1" applyBorder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" fontId="0" fillId="0" borderId="0" xfId="1" applyNumberFormat="1" applyFont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0" fontId="1" fillId="6" borderId="0" xfId="1" applyFont="1" applyFill="1" applyAlignment="1">
      <alignment horizontal="left" vertical="center" wrapText="1"/>
    </xf>
    <xf numFmtId="0" fontId="6" fillId="7" borderId="0" xfId="1" applyFont="1" applyFill="1" applyAlignment="1">
      <alignment wrapText="1"/>
    </xf>
    <xf numFmtId="0" fontId="3" fillId="8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wrapText="1"/>
    </xf>
    <xf numFmtId="0" fontId="7" fillId="0" borderId="0" xfId="1" applyFont="1" applyAlignment="1">
      <alignment wrapText="1"/>
    </xf>
    <xf numFmtId="9" fontId="0" fillId="0" borderId="0" xfId="1" applyNumberFormat="1" applyFont="1" applyAlignment="1">
      <alignment wrapText="1"/>
    </xf>
    <xf numFmtId="0" fontId="1" fillId="6" borderId="0" xfId="1" applyFont="1" applyFill="1" applyAlignment="1">
      <alignment vertical="center"/>
    </xf>
    <xf numFmtId="0" fontId="8" fillId="7" borderId="0" xfId="1" applyFont="1" applyFill="1" applyAlignment="1">
      <alignment wrapText="1"/>
    </xf>
    <xf numFmtId="0" fontId="9" fillId="10" borderId="0" xfId="1" applyFont="1" applyFill="1" applyAlignment="1">
      <alignment horizontal="center" vertical="center" wrapText="1"/>
    </xf>
    <xf numFmtId="0" fontId="7" fillId="11" borderId="0" xfId="1" applyFont="1" applyFill="1" applyAlignment="1">
      <alignment horizontal="center" vertical="center"/>
    </xf>
    <xf numFmtId="9" fontId="7" fillId="11" borderId="0" xfId="1" applyNumberFormat="1" applyFont="1" applyFill="1" applyAlignment="1">
      <alignment horizontal="center" vertical="center"/>
    </xf>
    <xf numFmtId="0" fontId="5" fillId="8" borderId="0" xfId="1" applyFont="1" applyFill="1" applyAlignment="1">
      <alignment vertical="center" wrapText="1"/>
    </xf>
    <xf numFmtId="0" fontId="5" fillId="8" borderId="0" xfId="1" applyFont="1" applyFill="1" applyAlignment="1">
      <alignment wrapText="1"/>
    </xf>
    <xf numFmtId="0" fontId="10" fillId="0" borderId="0" xfId="1" applyFont="1" applyAlignment="1">
      <alignment vertical="top" wrapText="1"/>
    </xf>
    <xf numFmtId="0" fontId="10" fillId="5" borderId="0" xfId="1" applyFont="1" applyFill="1" applyAlignment="1">
      <alignment vertical="top" wrapText="1"/>
    </xf>
    <xf numFmtId="1" fontId="10" fillId="0" borderId="0" xfId="1" applyNumberFormat="1" applyFont="1" applyAlignment="1">
      <alignment vertical="top" wrapText="1"/>
    </xf>
    <xf numFmtId="1" fontId="10" fillId="5" borderId="0" xfId="1" applyNumberFormat="1" applyFont="1" applyFill="1" applyAlignment="1">
      <alignment vertical="top" wrapText="1"/>
    </xf>
    <xf numFmtId="0" fontId="7" fillId="9" borderId="1" xfId="1" applyFont="1" applyFill="1" applyBorder="1" applyAlignment="1">
      <alignment horizontal="center" wrapText="1"/>
    </xf>
    <xf numFmtId="0" fontId="7" fillId="9" borderId="0" xfId="1" applyFont="1" applyFill="1" applyAlignment="1">
      <alignment horizontal="center" wrapText="1"/>
    </xf>
    <xf numFmtId="0" fontId="11" fillId="7" borderId="0" xfId="1" applyFont="1" applyFill="1" applyAlignment="1">
      <alignment vertical="center" wrapText="1"/>
    </xf>
    <xf numFmtId="0" fontId="12" fillId="7" borderId="0" xfId="1" applyFont="1" applyFill="1" applyAlignment="1">
      <alignment vertical="center" wrapText="1"/>
    </xf>
    <xf numFmtId="0" fontId="9" fillId="10" borderId="0" xfId="1" applyFont="1" applyFill="1" applyAlignment="1">
      <alignment horizontal="center" vertical="center" wrapText="1"/>
    </xf>
    <xf numFmtId="1" fontId="7" fillId="11" borderId="0" xfId="1" applyNumberFormat="1" applyFont="1" applyFill="1" applyAlignment="1">
      <alignment horizontal="center" vertical="center"/>
    </xf>
    <xf numFmtId="9" fontId="7" fillId="11" borderId="0" xfId="1" applyNumberFormat="1" applyFont="1" applyFill="1" applyAlignment="1">
      <alignment horizontal="center" vertical="center"/>
    </xf>
    <xf numFmtId="0" fontId="7" fillId="12" borderId="0" xfId="1" applyFont="1" applyFill="1" applyAlignment="1">
      <alignment horizontal="center" vertical="center" wrapText="1"/>
    </xf>
    <xf numFmtId="0" fontId="7" fillId="11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8">
    <dxf>
      <font>
        <color rgb="FF765C00"/>
      </font>
      <fill>
        <patternFill patternType="solid">
          <bgColor rgb="FFFFF8D8"/>
        </patternFill>
      </fill>
    </dxf>
    <dxf>
      <font>
        <color rgb="FF20663C"/>
      </font>
      <fill>
        <patternFill patternType="solid">
          <bgColor rgb="FFEAF6EE"/>
        </patternFill>
      </fill>
    </dxf>
    <dxf>
      <font>
        <color rgb="FFA61B1B"/>
      </font>
      <fill>
        <patternFill patternType="solid">
          <bgColor rgb="FFFFF1F4"/>
        </patternFill>
      </fill>
    </dxf>
    <dxf>
      <font>
        <b/>
        <color rgb="FFE51A4B"/>
      </font>
      <fill>
        <patternFill>
          <bgColor rgb="FFFFF1F4"/>
        </patternFill>
      </fill>
    </dxf>
    <dxf>
      <font>
        <b/>
        <color rgb="FF43536B"/>
      </font>
      <fill>
        <patternFill>
          <bgColor rgb="FFEEF2F5"/>
        </patternFill>
      </fill>
    </dxf>
    <dxf>
      <font>
        <b/>
        <color rgb="FF2E6B47"/>
      </font>
      <fill>
        <patternFill>
          <bgColor rgb="FFE8F3ED"/>
        </patternFill>
      </fill>
    </dxf>
    <dxf>
      <fill>
        <patternFill patternType="solid">
          <bgColor rgb="FFFFF8D8"/>
        </patternFill>
      </fill>
    </dxf>
    <dxf>
      <fill>
        <patternFill patternType="solid">
          <bgColor rgb="FFEAF6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unicationCalendar" displayName="CommunicationCalendar" ref="A8:O27" totalsRowShown="0">
  <tableColumns count="15">
    <tableColumn id="1" xr3:uid="{00000000-0010-0000-0000-000001000000}" name="Этап"/>
    <tableColumn id="2" xr3:uid="{00000000-0010-0000-0000-000002000000}" name="Относительный срок"/>
    <tableColumn id="3" xr3:uid="{00000000-0010-0000-0000-000003000000}" name="Дата"/>
    <tableColumn id="4" xr3:uid="{00000000-0010-0000-0000-000004000000}" name="Целевая аудитория"/>
    <tableColumn id="5" xr3:uid="{00000000-0010-0000-0000-000005000000}" name="Задача коммуникации"/>
    <tableColumn id="6" xr3:uid="{00000000-0010-0000-0000-000006000000}" name="Сообщение / контент"/>
    <tableColumn id="7" xr3:uid="{00000000-0010-0000-0000-000007000000}" name="Канал"/>
    <tableColumn id="8" xr3:uid="{00000000-0010-0000-0000-000008000000}" name="Отправитель"/>
    <tableColumn id="9" xr3:uid="{00000000-0010-0000-0000-000009000000}" name="CTA / действие участника"/>
    <tableColumn id="10" xr3:uid="{00000000-0010-0000-0000-00000A000000}" name="Ответственный"/>
    <tableColumn id="11" xr3:uid="{00000000-0010-0000-0000-00000B000000}" name="Статус"/>
    <tableColumn id="12" xr3:uid="{00000000-0010-0000-0000-00000C000000}" name="План охвата"/>
    <tableColumn id="13" xr3:uid="{00000000-0010-0000-0000-00000D000000}" name="Факт охвата"/>
    <tableColumn id="14" xr3:uid="{00000000-0010-0000-0000-00000E000000}" name="Регистрации / подтверждения"/>
    <tableColumn id="15" xr3:uid="{00000000-0010-0000-0000-00000F000000}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enceSegments" displayName="AudienceSegments" ref="A4:G11" totalsRowShown="0">
  <tableColumns count="7">
    <tableColumn id="1" xr3:uid="{00000000-0010-0000-0100-000001000000}" name="Сегмент"/>
    <tableColumn id="2" xr3:uid="{00000000-0010-0000-0100-000002000000}" name="Что им важно"/>
    <tableColumn id="3" xr3:uid="{00000000-0010-0000-0100-000003000000}" name="Типичный барьер"/>
    <tableColumn id="4" xr3:uid="{00000000-0010-0000-0100-000004000000}" name="Основной канал"/>
    <tableColumn id="5" xr3:uid="{00000000-0010-0000-0100-000005000000}" name="Доп. канал"/>
    <tableColumn id="6" xr3:uid="{00000000-0010-0000-0100-000006000000}" name="Лучший CTA"/>
    <tableColumn id="7" xr3:uid="{00000000-0010-0000-0100-000007000000}" name="Как персонализироват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ssageTemplates" displayName="MessageTemplates" ref="A4:E11" totalsRowShown="0">
  <tableColumns count="5">
    <tableColumn id="1" xr3:uid="{00000000-0010-0000-0200-000001000000}" name="Этап"/>
    <tableColumn id="2" xr3:uid="{00000000-0010-0000-0200-000002000000}" name="Для кого"/>
    <tableColumn id="3" xr3:uid="{00000000-0010-0000-0200-000003000000}" name="Тема / начало"/>
    <tableColumn id="4" xr3:uid="{00000000-0010-0000-0200-000004000000}" name="Текст"/>
    <tableColumn id="5" xr3:uid="{00000000-0010-0000-0200-000005000000}" name="C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3.8"/>
  <cols>
    <col min="1" max="1" width="34" customWidth="1"/>
    <col min="2" max="2" width="24" customWidth="1"/>
    <col min="3" max="3" width="48" customWidth="1"/>
  </cols>
  <sheetData>
    <row r="1" spans="1:8" ht="72" customHeight="1">
      <c r="A1" s="13" t="s">
        <v>0</v>
      </c>
      <c r="B1" s="13"/>
      <c r="C1" s="13"/>
      <c r="D1" s="1"/>
      <c r="E1" s="1"/>
      <c r="F1" s="1"/>
      <c r="G1" s="1"/>
      <c r="H1" s="1"/>
    </row>
    <row r="2" spans="1:8" ht="25.65" customHeight="1">
      <c r="A2" s="14" t="s">
        <v>1</v>
      </c>
      <c r="B2" s="14"/>
      <c r="C2" s="14"/>
      <c r="D2" s="2"/>
      <c r="E2" s="2"/>
      <c r="F2" s="2"/>
      <c r="G2" s="2"/>
      <c r="H2" s="2"/>
    </row>
    <row r="3" spans="1:8" ht="16.05" customHeight="1">
      <c r="A3" s="6"/>
      <c r="B3" s="6"/>
      <c r="C3" s="6"/>
    </row>
    <row r="4" spans="1:8" ht="16.05" customHeight="1">
      <c r="A4" s="15" t="s">
        <v>2</v>
      </c>
      <c r="B4" s="15" t="s">
        <v>3</v>
      </c>
      <c r="C4" s="15" t="s">
        <v>4</v>
      </c>
    </row>
    <row r="5" spans="1:8" ht="16.05" customHeight="1">
      <c r="A5" s="16" t="s">
        <v>5</v>
      </c>
      <c r="B5" s="3">
        <v>46341</v>
      </c>
      <c r="C5" s="4" t="s">
        <v>6</v>
      </c>
    </row>
    <row r="6" spans="1:8" ht="16.05" customHeight="1">
      <c r="A6" s="16" t="s">
        <v>7</v>
      </c>
      <c r="B6" s="5" t="s">
        <v>8</v>
      </c>
      <c r="C6" s="4" t="s">
        <v>9</v>
      </c>
    </row>
    <row r="7" spans="1:8" ht="16.05" customHeight="1">
      <c r="A7" s="16" t="s">
        <v>10</v>
      </c>
      <c r="B7" s="5" t="s">
        <v>11</v>
      </c>
      <c r="C7" s="4" t="s">
        <v>12</v>
      </c>
    </row>
    <row r="8" spans="1:8" ht="16.05" customHeight="1">
      <c r="A8" s="16" t="s">
        <v>13</v>
      </c>
      <c r="B8" s="5" t="s">
        <v>14</v>
      </c>
      <c r="C8" s="4" t="s">
        <v>15</v>
      </c>
    </row>
    <row r="9" spans="1:8" ht="16.05" customHeight="1">
      <c r="A9" s="16" t="s">
        <v>16</v>
      </c>
      <c r="B9" s="5" t="s">
        <v>17</v>
      </c>
      <c r="C9" s="4" t="s">
        <v>18</v>
      </c>
    </row>
    <row r="10" spans="1:8" ht="16.05" customHeight="1">
      <c r="A10" s="16" t="s">
        <v>19</v>
      </c>
      <c r="B10" s="5">
        <v>120</v>
      </c>
      <c r="C10" s="4" t="s">
        <v>20</v>
      </c>
    </row>
    <row r="11" spans="1:8" ht="16.05" customHeight="1">
      <c r="A11" s="16" t="s">
        <v>21</v>
      </c>
      <c r="B11" s="5">
        <v>150</v>
      </c>
      <c r="C11" s="4" t="s">
        <v>22</v>
      </c>
    </row>
    <row r="12" spans="1:8" ht="16.05" customHeight="1">
      <c r="A12" s="16" t="s">
        <v>23</v>
      </c>
      <c r="B12" s="30">
        <v>0</v>
      </c>
      <c r="C12" s="4" t="s">
        <v>24</v>
      </c>
    </row>
    <row r="13" spans="1:8" ht="16.05" customHeight="1">
      <c r="A13" s="17" t="s">
        <v>25</v>
      </c>
      <c r="B13" s="31">
        <v>0</v>
      </c>
      <c r="C13" s="6" t="s">
        <v>26</v>
      </c>
    </row>
    <row r="14" spans="1:8" ht="16.05" customHeight="1">
      <c r="A14" s="17" t="s">
        <v>27</v>
      </c>
      <c r="B14" s="31">
        <v>0</v>
      </c>
      <c r="C14" s="6" t="s">
        <v>28</v>
      </c>
    </row>
    <row r="15" spans="1:8" ht="16.05" customHeight="1">
      <c r="A15" s="17" t="s">
        <v>29</v>
      </c>
      <c r="B15" s="6" t="s">
        <v>30</v>
      </c>
      <c r="C15" s="6" t="s">
        <v>31</v>
      </c>
    </row>
    <row r="16" spans="1:8" ht="16.05" customHeight="1">
      <c r="A16" s="17" t="s">
        <v>32</v>
      </c>
      <c r="B16" s="6" t="s">
        <v>33</v>
      </c>
      <c r="C16" s="6" t="s">
        <v>34</v>
      </c>
    </row>
    <row r="17" spans="1:3" ht="16.05" customHeight="1">
      <c r="A17" s="17" t="s">
        <v>35</v>
      </c>
      <c r="B17" s="18">
        <v>0.7</v>
      </c>
      <c r="C17" s="6" t="s">
        <v>36</v>
      </c>
    </row>
    <row r="18" spans="1:3" ht="16.05" customHeight="1">
      <c r="A18" s="17" t="s">
        <v>37</v>
      </c>
      <c r="B18" s="18">
        <v>0.85</v>
      </c>
      <c r="C18" s="6" t="s">
        <v>38</v>
      </c>
    </row>
    <row r="19" spans="1:3" ht="16.05" customHeight="1">
      <c r="A19" s="17" t="s">
        <v>39</v>
      </c>
      <c r="B19" s="6" t="s">
        <v>40</v>
      </c>
      <c r="C19" s="6" t="s">
        <v>41</v>
      </c>
    </row>
    <row r="20" spans="1:3" ht="16.05" customHeight="1">
      <c r="A20" s="17" t="s">
        <v>42</v>
      </c>
      <c r="B20" s="6" t="s">
        <v>40</v>
      </c>
      <c r="C20" s="6" t="s">
        <v>43</v>
      </c>
    </row>
    <row r="21" spans="1:3" ht="16.05" customHeight="1">
      <c r="A21" s="17" t="s">
        <v>44</v>
      </c>
      <c r="B21" s="6" t="s">
        <v>40</v>
      </c>
      <c r="C21" s="6" t="s">
        <v>45</v>
      </c>
    </row>
    <row r="22" spans="1:3" ht="16.05" customHeight="1">
      <c r="A22" s="17" t="s">
        <v>46</v>
      </c>
      <c r="B22" s="6" t="s">
        <v>47</v>
      </c>
      <c r="C22" s="6" t="s">
        <v>48</v>
      </c>
    </row>
    <row r="23" spans="1:3" ht="16.05" customHeight="1"/>
    <row r="24" spans="1:3" ht="16.05" customHeight="1"/>
    <row r="25" spans="1:3" ht="16.05" customHeight="1"/>
    <row r="26" spans="1:3" ht="16.05" customHeight="1"/>
    <row r="27" spans="1:3" ht="16.05" customHeight="1"/>
    <row r="28" spans="1:3" ht="16.05" customHeight="1"/>
    <row r="29" spans="1:3" ht="16.05" customHeight="1"/>
    <row r="30" spans="1:3" ht="16.05" customHeight="1"/>
  </sheetData>
  <dataValidations count="1">
    <dataValidation type="list" sqref="B19:B22" xr:uid="{00000000-0002-0000-0000-000000000000}">
      <formula1>"Да,Нет"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workbookViewId="0">
      <selection activeCell="A5" sqref="A5:B5"/>
    </sheetView>
  </sheetViews>
  <sheetFormatPr defaultRowHeight="13.8"/>
  <cols>
    <col min="1" max="1" width="16.09765625" customWidth="1"/>
    <col min="2" max="2" width="24" customWidth="1"/>
    <col min="3" max="3" width="12" customWidth="1"/>
    <col min="4" max="4" width="13" customWidth="1"/>
    <col min="5" max="5" width="24" customWidth="1"/>
    <col min="6" max="6" width="34" customWidth="1"/>
    <col min="7" max="7" width="28" customWidth="1"/>
    <col min="8" max="8" width="42" customWidth="1"/>
    <col min="9" max="9" width="24" customWidth="1"/>
    <col min="10" max="10" width="22" customWidth="1"/>
    <col min="11" max="11" width="38" customWidth="1"/>
    <col min="12" max="12" width="21" customWidth="1"/>
    <col min="13" max="13" width="16" customWidth="1"/>
    <col min="14" max="14" width="14" customWidth="1"/>
    <col min="15" max="16" width="12" customWidth="1"/>
    <col min="17" max="17" width="11" customWidth="1"/>
    <col min="18" max="18" width="12" customWidth="1"/>
    <col min="19" max="19" width="14" customWidth="1"/>
    <col min="20" max="20" width="36" customWidth="1"/>
  </cols>
  <sheetData>
    <row r="1" spans="1:20" ht="22.35" customHeight="1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9.2" customHeight="1">
      <c r="A2" s="33" t="s">
        <v>50</v>
      </c>
      <c r="B2" s="32" t="s">
        <v>51</v>
      </c>
      <c r="C2" s="32"/>
      <c r="D2" s="32"/>
      <c r="E2" s="32" t="s">
        <v>52</v>
      </c>
      <c r="F2" s="32"/>
      <c r="G2" s="32"/>
      <c r="H2" s="32" t="s">
        <v>53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4" spans="1:20">
      <c r="A4" s="34" t="s">
        <v>54</v>
      </c>
      <c r="B4" s="34"/>
      <c r="C4" s="34" t="s">
        <v>55</v>
      </c>
      <c r="D4" s="34"/>
      <c r="E4" s="34" t="s">
        <v>56</v>
      </c>
      <c r="F4" s="34"/>
      <c r="G4" s="34" t="s">
        <v>57</v>
      </c>
      <c r="H4" s="34"/>
      <c r="I4" s="21" t="s">
        <v>58</v>
      </c>
      <c r="J4" s="21"/>
      <c r="K4" s="21" t="s">
        <v>59</v>
      </c>
      <c r="L4" s="21"/>
      <c r="M4" s="21"/>
      <c r="N4" s="21"/>
      <c r="O4" s="21"/>
      <c r="P4" s="21"/>
      <c r="Q4" s="21"/>
      <c r="R4" s="21"/>
      <c r="S4" s="21"/>
      <c r="T4" s="21"/>
    </row>
    <row r="5" spans="1:20">
      <c r="A5" s="35">
        <f>Настройки!B10</f>
        <v>120</v>
      </c>
      <c r="B5" s="38"/>
      <c r="C5" s="35">
        <f>Настройки!B12</f>
        <v>0</v>
      </c>
      <c r="D5" s="38"/>
      <c r="E5" s="36">
        <f>IFERROR(C5/A5,0)</f>
        <v>0</v>
      </c>
      <c r="F5" s="36"/>
      <c r="G5" s="35">
        <f>Настройки!B11</f>
        <v>150</v>
      </c>
      <c r="H5" s="36"/>
      <c r="I5" s="23">
        <f>IFERROR(C5/G5,0)</f>
        <v>0</v>
      </c>
      <c r="J5" s="22"/>
      <c r="K5" s="37" t="str">
        <f ca="1">IF(Настройки!B12&gt;=Настройки!B11*Настройки!B18,"ОСТАНОВИТЬ ШИРОКИЙ НАБОР",IF(TODAY()&lt;Настройки!B5-18,"ПЛАНОВАЯ КАМПАНИЯ",IF(Настройки!B12&lt;Настройки!B10*Настройки!B17,"УСИЛИТЬ ТОЧЕЧНЫЙ ДОБОР","ПЛАНОВАЯ КАМПАНИЯ")))</f>
        <v>ПЛАНОВАЯ КАМПАНИЯ</v>
      </c>
      <c r="L5" s="37"/>
      <c r="M5" s="37"/>
      <c r="N5" s="37"/>
      <c r="O5" s="37"/>
      <c r="P5" s="37"/>
      <c r="Q5" s="37"/>
      <c r="R5" s="37"/>
      <c r="S5" s="37"/>
      <c r="T5" s="37"/>
    </row>
    <row r="8" spans="1:20" ht="33.6" customHeight="1">
      <c r="A8" s="24" t="s">
        <v>60</v>
      </c>
      <c r="B8" s="24" t="s">
        <v>61</v>
      </c>
      <c r="C8" s="24" t="s">
        <v>62</v>
      </c>
      <c r="D8" s="24" t="s">
        <v>63</v>
      </c>
      <c r="E8" s="24" t="s">
        <v>64</v>
      </c>
      <c r="F8" s="24" t="s">
        <v>65</v>
      </c>
      <c r="G8" s="24" t="s">
        <v>66</v>
      </c>
      <c r="H8" s="24" t="s">
        <v>67</v>
      </c>
      <c r="I8" s="24" t="s">
        <v>68</v>
      </c>
      <c r="J8" s="24" t="s">
        <v>69</v>
      </c>
      <c r="K8" s="24" t="s">
        <v>70</v>
      </c>
      <c r="L8" s="24" t="s">
        <v>71</v>
      </c>
      <c r="M8" s="24" t="s">
        <v>72</v>
      </c>
      <c r="N8" s="24" t="s">
        <v>73</v>
      </c>
      <c r="O8" s="24" t="s">
        <v>74</v>
      </c>
      <c r="P8" s="24" t="s">
        <v>75</v>
      </c>
      <c r="Q8" s="24" t="s">
        <v>76</v>
      </c>
      <c r="R8" s="24" t="s">
        <v>77</v>
      </c>
      <c r="S8" s="24" t="s">
        <v>78</v>
      </c>
      <c r="T8" s="24" t="s">
        <v>79</v>
      </c>
    </row>
    <row r="9" spans="1:20" ht="65.55" customHeight="1">
      <c r="A9" s="26" t="s">
        <v>80</v>
      </c>
      <c r="B9" s="26" t="s">
        <v>81</v>
      </c>
      <c r="C9" s="8" t="s">
        <v>82</v>
      </c>
      <c r="D9" s="8">
        <f>Настройки!B5-42</f>
        <v>46299</v>
      </c>
      <c r="E9" s="7" t="s">
        <v>83</v>
      </c>
      <c r="F9" s="7" t="s">
        <v>84</v>
      </c>
      <c r="G9" s="7" t="s">
        <v>85</v>
      </c>
      <c r="H9" s="7" t="s">
        <v>86</v>
      </c>
      <c r="I9" s="7" t="s">
        <v>87</v>
      </c>
      <c r="J9" s="7" t="s">
        <v>88</v>
      </c>
      <c r="K9" s="7" t="s">
        <v>89</v>
      </c>
      <c r="L9" s="28" t="s">
        <v>90</v>
      </c>
      <c r="M9" s="11" t="s">
        <v>30</v>
      </c>
      <c r="N9" s="11" t="s">
        <v>91</v>
      </c>
      <c r="O9" s="7">
        <v>500</v>
      </c>
      <c r="P9" s="7"/>
      <c r="Q9" s="7"/>
      <c r="R9" s="7"/>
      <c r="S9" s="7"/>
      <c r="T9" s="7" t="s">
        <v>92</v>
      </c>
    </row>
    <row r="10" spans="1:20" ht="65.55" customHeight="1">
      <c r="A10" s="27" t="s">
        <v>80</v>
      </c>
      <c r="B10" s="27" t="s">
        <v>93</v>
      </c>
      <c r="C10" s="10" t="s">
        <v>94</v>
      </c>
      <c r="D10" s="10">
        <f>Настройки!B5-35</f>
        <v>46306</v>
      </c>
      <c r="E10" s="9" t="s">
        <v>95</v>
      </c>
      <c r="F10" s="9" t="s">
        <v>96</v>
      </c>
      <c r="G10" s="9" t="s">
        <v>97</v>
      </c>
      <c r="H10" s="9" t="s">
        <v>98</v>
      </c>
      <c r="I10" s="9" t="s">
        <v>99</v>
      </c>
      <c r="J10" s="9" t="s">
        <v>100</v>
      </c>
      <c r="K10" s="9" t="s">
        <v>89</v>
      </c>
      <c r="L10" s="29" t="s">
        <v>90</v>
      </c>
      <c r="M10" s="12" t="s">
        <v>30</v>
      </c>
      <c r="N10" s="12" t="s">
        <v>91</v>
      </c>
      <c r="O10" s="9">
        <v>400</v>
      </c>
      <c r="P10" s="7"/>
      <c r="Q10" s="7"/>
      <c r="R10" s="7"/>
      <c r="S10" s="7"/>
      <c r="T10" s="7" t="s">
        <v>101</v>
      </c>
    </row>
    <row r="11" spans="1:20" ht="65.55" customHeight="1">
      <c r="A11" s="26" t="s">
        <v>80</v>
      </c>
      <c r="B11" s="26" t="s">
        <v>102</v>
      </c>
      <c r="C11" s="8" t="s">
        <v>94</v>
      </c>
      <c r="D11" s="8">
        <f>Настройки!B5-35</f>
        <v>46306</v>
      </c>
      <c r="E11" s="7" t="s">
        <v>103</v>
      </c>
      <c r="F11" s="7" t="s">
        <v>104</v>
      </c>
      <c r="G11" s="7" t="s">
        <v>105</v>
      </c>
      <c r="H11" s="7" t="s">
        <v>106</v>
      </c>
      <c r="I11" s="7" t="s">
        <v>107</v>
      </c>
      <c r="J11" s="7" t="s">
        <v>108</v>
      </c>
      <c r="K11" s="7" t="s">
        <v>89</v>
      </c>
      <c r="L11" s="28" t="s">
        <v>90</v>
      </c>
      <c r="M11" s="11" t="s">
        <v>30</v>
      </c>
      <c r="N11" s="11" t="s">
        <v>91</v>
      </c>
      <c r="O11" s="7">
        <v>60</v>
      </c>
      <c r="P11" s="7"/>
      <c r="Q11" s="7"/>
      <c r="R11" s="7"/>
      <c r="S11" s="7"/>
      <c r="T11" s="7" t="s">
        <v>109</v>
      </c>
    </row>
    <row r="12" spans="1:20" ht="65.55" customHeight="1">
      <c r="A12" s="27" t="s">
        <v>110</v>
      </c>
      <c r="B12" s="27" t="s">
        <v>111</v>
      </c>
      <c r="C12" s="10" t="s">
        <v>112</v>
      </c>
      <c r="D12" s="10">
        <f>Настройки!B5-32</f>
        <v>46309</v>
      </c>
      <c r="E12" s="9" t="s">
        <v>113</v>
      </c>
      <c r="F12" s="9" t="s">
        <v>114</v>
      </c>
      <c r="G12" s="9" t="s">
        <v>115</v>
      </c>
      <c r="H12" s="9" t="s">
        <v>116</v>
      </c>
      <c r="I12" s="9" t="s">
        <v>117</v>
      </c>
      <c r="J12" s="9" t="s">
        <v>118</v>
      </c>
      <c r="K12" s="9" t="s">
        <v>119</v>
      </c>
      <c r="L12" s="29" t="str">
        <f>IF(Настройки!B19="Да","ВЫПОЛНИТЬ","НЕ НУЖНО")</f>
        <v>ВЫПОЛНИТЬ</v>
      </c>
      <c r="M12" s="12" t="s">
        <v>30</v>
      </c>
      <c r="N12" s="12" t="s">
        <v>91</v>
      </c>
      <c r="O12" s="9">
        <v>30</v>
      </c>
      <c r="P12" s="7"/>
      <c r="Q12" s="7"/>
      <c r="R12" s="7"/>
      <c r="S12" s="7"/>
      <c r="T12" s="7" t="s">
        <v>120</v>
      </c>
    </row>
    <row r="13" spans="1:20" ht="65.55" customHeight="1">
      <c r="A13" s="26" t="s">
        <v>80</v>
      </c>
      <c r="B13" s="26" t="s">
        <v>121</v>
      </c>
      <c r="C13" s="8" t="s">
        <v>122</v>
      </c>
      <c r="D13" s="8">
        <f>Настройки!B5-21</f>
        <v>46320</v>
      </c>
      <c r="E13" s="7" t="s">
        <v>123</v>
      </c>
      <c r="F13" s="7" t="s">
        <v>124</v>
      </c>
      <c r="G13" s="7" t="s">
        <v>125</v>
      </c>
      <c r="H13" s="7" t="s">
        <v>126</v>
      </c>
      <c r="I13" s="7" t="s">
        <v>127</v>
      </c>
      <c r="J13" s="7" t="s">
        <v>128</v>
      </c>
      <c r="K13" s="7" t="s">
        <v>89</v>
      </c>
      <c r="L13" s="28" t="s">
        <v>90</v>
      </c>
      <c r="M13" s="11" t="s">
        <v>30</v>
      </c>
      <c r="N13" s="11" t="s">
        <v>91</v>
      </c>
      <c r="O13" s="7">
        <v>450</v>
      </c>
      <c r="P13" s="7"/>
      <c r="Q13" s="7"/>
      <c r="R13" s="7"/>
      <c r="S13" s="7"/>
      <c r="T13" s="7" t="s">
        <v>129</v>
      </c>
    </row>
    <row r="14" spans="1:20" ht="65.55" customHeight="1">
      <c r="A14" s="27" t="s">
        <v>80</v>
      </c>
      <c r="B14" s="27" t="s">
        <v>130</v>
      </c>
      <c r="C14" s="10" t="s">
        <v>131</v>
      </c>
      <c r="D14" s="10">
        <f>Настройки!B5-18</f>
        <v>46323</v>
      </c>
      <c r="E14" s="9" t="s">
        <v>132</v>
      </c>
      <c r="F14" s="9" t="s">
        <v>133</v>
      </c>
      <c r="G14" s="9" t="s">
        <v>134</v>
      </c>
      <c r="H14" s="9" t="s">
        <v>135</v>
      </c>
      <c r="I14" s="9" t="s">
        <v>136</v>
      </c>
      <c r="J14" s="9" t="s">
        <v>137</v>
      </c>
      <c r="K14" s="9" t="s">
        <v>89</v>
      </c>
      <c r="L14" s="29" t="s">
        <v>90</v>
      </c>
      <c r="M14" s="12" t="s">
        <v>30</v>
      </c>
      <c r="N14" s="12" t="s">
        <v>91</v>
      </c>
      <c r="O14" s="9">
        <v>0</v>
      </c>
      <c r="P14" s="7"/>
      <c r="Q14" s="7"/>
      <c r="R14" s="7"/>
      <c r="S14" s="7"/>
      <c r="T14" s="7" t="s">
        <v>138</v>
      </c>
    </row>
    <row r="15" spans="1:20" ht="65.55" customHeight="1">
      <c r="A15" s="26" t="s">
        <v>110</v>
      </c>
      <c r="B15" s="26" t="s">
        <v>139</v>
      </c>
      <c r="C15" s="8" t="s">
        <v>140</v>
      </c>
      <c r="D15" s="8">
        <f>Настройки!B5-14</f>
        <v>46327</v>
      </c>
      <c r="E15" s="7" t="s">
        <v>141</v>
      </c>
      <c r="F15" s="7" t="s">
        <v>142</v>
      </c>
      <c r="G15" s="7" t="s">
        <v>143</v>
      </c>
      <c r="H15" s="7" t="s">
        <v>144</v>
      </c>
      <c r="I15" s="7" t="s">
        <v>145</v>
      </c>
      <c r="J15" s="7" t="s">
        <v>146</v>
      </c>
      <c r="K15" s="7" t="s">
        <v>147</v>
      </c>
      <c r="L15" s="28" t="str">
        <f ca="1">IF(TODAY()&lt;Настройки!B5-18,"ПОЗЖЕ: ПОСЛЕ КОНТРОЛЯ",IF(Настройки!B12&lt;Настройки!B10*Настройки!B17,"ЗАПУСТИТЬ","ПРОВЕРИТЬ СОСТАВ ЦА"))</f>
        <v>ПОЗЖЕ: ПОСЛЕ КОНТРОЛЯ</v>
      </c>
      <c r="M15" s="11" t="s">
        <v>30</v>
      </c>
      <c r="N15" s="11" t="s">
        <v>91</v>
      </c>
      <c r="O15" s="7">
        <v>50</v>
      </c>
      <c r="P15" s="7"/>
      <c r="Q15" s="7"/>
      <c r="R15" s="7"/>
      <c r="S15" s="7"/>
      <c r="T15" s="7" t="s">
        <v>148</v>
      </c>
    </row>
    <row r="16" spans="1:20" ht="65.55" customHeight="1">
      <c r="A16" s="27" t="s">
        <v>110</v>
      </c>
      <c r="B16" s="27" t="s">
        <v>149</v>
      </c>
      <c r="C16" s="10" t="s">
        <v>150</v>
      </c>
      <c r="D16" s="10">
        <f>Настройки!B5-7</f>
        <v>46334</v>
      </c>
      <c r="E16" s="9" t="s">
        <v>151</v>
      </c>
      <c r="F16" s="9" t="s">
        <v>152</v>
      </c>
      <c r="G16" s="9" t="s">
        <v>153</v>
      </c>
      <c r="H16" s="9" t="s">
        <v>154</v>
      </c>
      <c r="I16" s="9" t="s">
        <v>155</v>
      </c>
      <c r="J16" s="9" t="s">
        <v>88</v>
      </c>
      <c r="K16" s="9" t="s">
        <v>156</v>
      </c>
      <c r="L16" s="29" t="str">
        <f ca="1">IF(TODAY()&lt;Настройки!B5-7,"ПОЗЖЕ: ПО СИТУАЦИИ",IF(OR(Настройки!B12&gt;=Настройки!B11*Настройки!B18,Настройки!B12&gt;=Настройки!B10),"НЕ ЗАПУСКАТЬ","МОЖНО ЗАПУСТИТЬ"))</f>
        <v>ПОЗЖЕ: ПО СИТУАЦИИ</v>
      </c>
      <c r="M16" s="12" t="s">
        <v>30</v>
      </c>
      <c r="N16" s="12" t="s">
        <v>91</v>
      </c>
      <c r="O16" s="9">
        <v>350</v>
      </c>
      <c r="P16" s="7"/>
      <c r="Q16" s="7"/>
      <c r="R16" s="7"/>
      <c r="S16" s="7"/>
      <c r="T16" s="7" t="s">
        <v>157</v>
      </c>
    </row>
    <row r="17" spans="1:20" ht="65.55" customHeight="1">
      <c r="A17" s="26" t="s">
        <v>80</v>
      </c>
      <c r="B17" s="26" t="s">
        <v>158</v>
      </c>
      <c r="C17" s="8" t="s">
        <v>159</v>
      </c>
      <c r="D17" s="8">
        <f>Настройки!B5-5</f>
        <v>46336</v>
      </c>
      <c r="E17" s="7" t="s">
        <v>160</v>
      </c>
      <c r="F17" s="7" t="s">
        <v>161</v>
      </c>
      <c r="G17" s="7" t="s">
        <v>162</v>
      </c>
      <c r="H17" s="7" t="s">
        <v>163</v>
      </c>
      <c r="I17" s="7" t="s">
        <v>164</v>
      </c>
      <c r="J17" s="7" t="s">
        <v>165</v>
      </c>
      <c r="K17" s="7" t="s">
        <v>89</v>
      </c>
      <c r="L17" s="28" t="s">
        <v>90</v>
      </c>
      <c r="M17" s="11" t="s">
        <v>30</v>
      </c>
      <c r="N17" s="11" t="s">
        <v>91</v>
      </c>
      <c r="O17" s="7">
        <v>120</v>
      </c>
      <c r="P17" s="7"/>
      <c r="Q17" s="7"/>
      <c r="R17" s="7"/>
      <c r="S17" s="7"/>
      <c r="T17" s="7" t="s">
        <v>166</v>
      </c>
    </row>
    <row r="18" spans="1:20" ht="65.55" customHeight="1">
      <c r="A18" s="27" t="s">
        <v>110</v>
      </c>
      <c r="B18" s="27" t="s">
        <v>167</v>
      </c>
      <c r="C18" s="10" t="s">
        <v>168</v>
      </c>
      <c r="D18" s="10">
        <f>Настройки!B5-3</f>
        <v>46338</v>
      </c>
      <c r="E18" s="9" t="s">
        <v>160</v>
      </c>
      <c r="F18" s="9" t="s">
        <v>169</v>
      </c>
      <c r="G18" s="9" t="s">
        <v>170</v>
      </c>
      <c r="H18" s="9" t="s">
        <v>171</v>
      </c>
      <c r="I18" s="9" t="s">
        <v>172</v>
      </c>
      <c r="J18" s="9" t="s">
        <v>173</v>
      </c>
      <c r="K18" s="9" t="s">
        <v>174</v>
      </c>
      <c r="L18" s="29" t="str">
        <f>IF(Настройки!B20="Да","ВЫПОЛНИТЬ","НЕ НУЖНО")</f>
        <v>ВЫПОЛНИТЬ</v>
      </c>
      <c r="M18" s="12" t="s">
        <v>30</v>
      </c>
      <c r="N18" s="12" t="s">
        <v>91</v>
      </c>
      <c r="O18" s="9">
        <v>120</v>
      </c>
      <c r="P18" s="7"/>
      <c r="Q18" s="7"/>
      <c r="R18" s="7"/>
      <c r="S18" s="7"/>
      <c r="T18" s="7" t="s">
        <v>175</v>
      </c>
    </row>
    <row r="19" spans="1:20" ht="65.55" customHeight="1">
      <c r="A19" s="26" t="s">
        <v>110</v>
      </c>
      <c r="B19" s="26" t="s">
        <v>176</v>
      </c>
      <c r="C19" s="8" t="s">
        <v>177</v>
      </c>
      <c r="D19" s="8">
        <f>Настройки!B5-2</f>
        <v>46339</v>
      </c>
      <c r="E19" s="7" t="s">
        <v>178</v>
      </c>
      <c r="F19" s="7" t="s">
        <v>179</v>
      </c>
      <c r="G19" s="7" t="s">
        <v>180</v>
      </c>
      <c r="H19" s="7" t="s">
        <v>181</v>
      </c>
      <c r="I19" s="7" t="s">
        <v>182</v>
      </c>
      <c r="J19" s="7" t="s">
        <v>183</v>
      </c>
      <c r="K19" s="7" t="s">
        <v>184</v>
      </c>
      <c r="L19" s="28" t="str">
        <f>IF(Настройки!B21="Да","ВЫПОЛНИТЬ","НЕ НУЖНО")</f>
        <v>ВЫПОЛНИТЬ</v>
      </c>
      <c r="M19" s="11" t="s">
        <v>30</v>
      </c>
      <c r="N19" s="11" t="s">
        <v>91</v>
      </c>
      <c r="O19" s="7">
        <v>25</v>
      </c>
      <c r="P19" s="7"/>
      <c r="Q19" s="7"/>
      <c r="R19" s="7"/>
      <c r="S19" s="7"/>
      <c r="T19" s="7" t="s">
        <v>185</v>
      </c>
    </row>
    <row r="20" spans="1:20" ht="65.55" customHeight="1">
      <c r="A20" s="27" t="s">
        <v>80</v>
      </c>
      <c r="B20" s="27" t="s">
        <v>186</v>
      </c>
      <c r="C20" s="10" t="s">
        <v>187</v>
      </c>
      <c r="D20" s="10">
        <f>Настройки!B5-1</f>
        <v>46340</v>
      </c>
      <c r="E20" s="9" t="s">
        <v>188</v>
      </c>
      <c r="F20" s="9" t="s">
        <v>189</v>
      </c>
      <c r="G20" s="9" t="s">
        <v>190</v>
      </c>
      <c r="H20" s="9" t="s">
        <v>191</v>
      </c>
      <c r="I20" s="9" t="s">
        <v>192</v>
      </c>
      <c r="J20" s="9" t="s">
        <v>193</v>
      </c>
      <c r="K20" s="9" t="s">
        <v>89</v>
      </c>
      <c r="L20" s="29" t="s">
        <v>90</v>
      </c>
      <c r="M20" s="12" t="s">
        <v>30</v>
      </c>
      <c r="N20" s="12" t="s">
        <v>91</v>
      </c>
      <c r="O20" s="9">
        <v>120</v>
      </c>
      <c r="P20" s="7"/>
      <c r="Q20" s="7"/>
      <c r="R20" s="7"/>
      <c r="S20" s="7"/>
      <c r="T20" s="7" t="s">
        <v>194</v>
      </c>
    </row>
    <row r="21" spans="1:20" ht="65.55" customHeight="1">
      <c r="A21" s="26" t="s">
        <v>110</v>
      </c>
      <c r="B21" s="26" t="s">
        <v>195</v>
      </c>
      <c r="C21" s="8" t="s">
        <v>196</v>
      </c>
      <c r="D21" s="8">
        <f>Настройки!B5+0</f>
        <v>46341</v>
      </c>
      <c r="E21" s="7" t="s">
        <v>197</v>
      </c>
      <c r="F21" s="7" t="s">
        <v>198</v>
      </c>
      <c r="G21" s="7" t="s">
        <v>199</v>
      </c>
      <c r="H21" s="7" t="s">
        <v>200</v>
      </c>
      <c r="I21" s="7" t="s">
        <v>201</v>
      </c>
      <c r="J21" s="7" t="s">
        <v>202</v>
      </c>
      <c r="K21" s="7" t="s">
        <v>203</v>
      </c>
      <c r="L21" s="28" t="str">
        <f>IF(Настройки!B22="Да","ВЫПОЛНИТЬ","НЕ НУЖНО")</f>
        <v>НЕ НУЖНО</v>
      </c>
      <c r="M21" s="11" t="s">
        <v>30</v>
      </c>
      <c r="N21" s="11" t="s">
        <v>91</v>
      </c>
      <c r="O21" s="7">
        <v>100</v>
      </c>
      <c r="P21" s="7"/>
      <c r="Q21" s="7"/>
      <c r="R21" s="7"/>
      <c r="S21" s="7"/>
      <c r="T21" s="7" t="s">
        <v>204</v>
      </c>
    </row>
    <row r="22" spans="1:20" ht="65.55" customHeight="1">
      <c r="A22" s="27" t="s">
        <v>80</v>
      </c>
      <c r="B22" s="27" t="s">
        <v>205</v>
      </c>
      <c r="C22" s="10" t="s">
        <v>206</v>
      </c>
      <c r="D22" s="10">
        <f>Настройки!B5+1</f>
        <v>46342</v>
      </c>
      <c r="E22" s="9" t="s">
        <v>207</v>
      </c>
      <c r="F22" s="9" t="s">
        <v>208</v>
      </c>
      <c r="G22" s="9" t="s">
        <v>209</v>
      </c>
      <c r="H22" s="9" t="s">
        <v>210</v>
      </c>
      <c r="I22" s="9" t="s">
        <v>172</v>
      </c>
      <c r="J22" s="9" t="s">
        <v>211</v>
      </c>
      <c r="K22" s="9" t="s">
        <v>89</v>
      </c>
      <c r="L22" s="29" t="s">
        <v>90</v>
      </c>
      <c r="M22" s="12" t="s">
        <v>30</v>
      </c>
      <c r="N22" s="12" t="s">
        <v>91</v>
      </c>
      <c r="O22" s="9">
        <v>100</v>
      </c>
      <c r="P22" s="7"/>
      <c r="Q22" s="7"/>
      <c r="R22" s="7"/>
      <c r="S22" s="7"/>
      <c r="T22" s="7" t="s">
        <v>212</v>
      </c>
    </row>
    <row r="23" spans="1:20" ht="65.55" customHeight="1">
      <c r="A23" s="26" t="s">
        <v>80</v>
      </c>
      <c r="B23" s="26" t="s">
        <v>213</v>
      </c>
      <c r="C23" s="8" t="s">
        <v>214</v>
      </c>
      <c r="D23" s="8">
        <f>Настройки!B5+5</f>
        <v>46346</v>
      </c>
      <c r="E23" s="7" t="s">
        <v>215</v>
      </c>
      <c r="F23" s="7" t="s">
        <v>216</v>
      </c>
      <c r="G23" s="7" t="s">
        <v>217</v>
      </c>
      <c r="H23" s="7" t="s">
        <v>218</v>
      </c>
      <c r="I23" s="7" t="s">
        <v>219</v>
      </c>
      <c r="J23" s="7" t="s">
        <v>220</v>
      </c>
      <c r="K23" s="7" t="s">
        <v>89</v>
      </c>
      <c r="L23" s="28" t="s">
        <v>90</v>
      </c>
      <c r="M23" s="11" t="s">
        <v>30</v>
      </c>
      <c r="N23" s="11" t="s">
        <v>91</v>
      </c>
      <c r="O23" s="7">
        <v>150</v>
      </c>
      <c r="P23" s="7"/>
      <c r="Q23" s="7"/>
      <c r="R23" s="7"/>
      <c r="S23" s="7"/>
      <c r="T23" s="7" t="s">
        <v>221</v>
      </c>
    </row>
    <row r="24" spans="1:20" ht="57.6" customHeight="1">
      <c r="A24" s="9"/>
      <c r="B24" s="9"/>
      <c r="C24" s="10"/>
      <c r="D24" s="9"/>
      <c r="E24" s="9"/>
      <c r="F24" s="9"/>
      <c r="G24" s="9"/>
      <c r="H24" s="9"/>
      <c r="I24" s="9"/>
      <c r="J24" s="9"/>
      <c r="K24" s="9"/>
      <c r="L24" s="12"/>
      <c r="M24" s="12"/>
      <c r="N24" s="12"/>
      <c r="O24" s="9"/>
    </row>
    <row r="25" spans="1:20" ht="57.6" customHeight="1">
      <c r="A25" s="7"/>
      <c r="B25" s="7"/>
      <c r="C25" s="8"/>
      <c r="D25" s="7"/>
      <c r="E25" s="7"/>
      <c r="F25" s="7"/>
      <c r="G25" s="7"/>
      <c r="H25" s="7"/>
      <c r="I25" s="7"/>
      <c r="J25" s="7"/>
      <c r="K25" s="7"/>
      <c r="L25" s="11"/>
      <c r="M25" s="11"/>
      <c r="N25" s="11"/>
      <c r="O25" s="7"/>
    </row>
    <row r="26" spans="1:20" ht="57.6" customHeight="1">
      <c r="A26" s="9"/>
      <c r="B26" s="9"/>
      <c r="C26" s="10"/>
      <c r="D26" s="9"/>
      <c r="E26" s="9"/>
      <c r="F26" s="9"/>
      <c r="G26" s="9"/>
      <c r="H26" s="9"/>
      <c r="I26" s="9"/>
      <c r="J26" s="9"/>
      <c r="K26" s="9"/>
      <c r="L26" s="12"/>
      <c r="M26" s="12"/>
      <c r="N26" s="12"/>
      <c r="O26" s="9"/>
    </row>
    <row r="27" spans="1:20" ht="57.6" customHeight="1">
      <c r="A27" s="7"/>
      <c r="B27" s="7"/>
      <c r="C27" s="8"/>
      <c r="D27" s="7"/>
      <c r="E27" s="7"/>
      <c r="F27" s="7"/>
      <c r="G27" s="7"/>
      <c r="H27" s="7"/>
      <c r="I27" s="7"/>
      <c r="J27" s="7"/>
      <c r="K27" s="7"/>
      <c r="L27" s="11"/>
      <c r="M27" s="11"/>
      <c r="N27" s="11"/>
      <c r="O27" s="7"/>
    </row>
  </sheetData>
  <mergeCells count="9">
    <mergeCell ref="G4:H4"/>
    <mergeCell ref="G5:H5"/>
    <mergeCell ref="K5:T5"/>
    <mergeCell ref="A4:B4"/>
    <mergeCell ref="A5:B5"/>
    <mergeCell ref="C4:D4"/>
    <mergeCell ref="C5:D5"/>
    <mergeCell ref="E4:F4"/>
    <mergeCell ref="E5:F5"/>
  </mergeCells>
  <conditionalFormatting sqref="A9:A23">
    <cfRule type="expression" dxfId="7" priority="4">
      <formula>A9="Обязательный"</formula>
    </cfRule>
    <cfRule type="expression" dxfId="6" priority="5">
      <formula>A9="Условный"</formula>
    </cfRule>
  </conditionalFormatting>
  <conditionalFormatting sqref="K9:K27">
    <cfRule type="expression" dxfId="5" priority="1">
      <formula>K9="Готово"</formula>
    </cfRule>
    <cfRule type="expression" dxfId="4" priority="2">
      <formula>K9="Отправлено"</formula>
    </cfRule>
    <cfRule type="expression" dxfId="3" priority="3">
      <formula>K9="Пропущено"</formula>
    </cfRule>
  </conditionalFormatting>
  <conditionalFormatting sqref="L9:L23">
    <cfRule type="expression" dxfId="2" priority="6">
      <formula>OR(L9="НЕ НУЖНО",L9="НЕ ЗАПУСКАТЬ")</formula>
    </cfRule>
    <cfRule type="expression" dxfId="1" priority="7">
      <formula>OR(L9="ВЫПОЛНИТЬ",L9="ЗАПУСТИТЬ",L9="МОЖНО ЗАПУСТИТЬ")</formula>
    </cfRule>
    <cfRule type="expression" dxfId="0" priority="8">
      <formula>LEFT(L9,5)="ПОЗЖЕ"</formula>
    </cfRule>
  </conditionalFormatting>
  <dataValidations count="3">
    <dataValidation type="list" sqref="K9:K27" xr:uid="{00000000-0002-0000-0100-000000000000}">
      <formula1>"Запланировано,Готово,Отправлено,Пропущено,Не требуется"</formula1>
    </dataValidation>
    <dataValidation type="list" sqref="A9:A23" xr:uid="{00000000-0002-0000-0100-000001000000}">
      <formula1>"Обязательный,Условный"</formula1>
    </dataValidation>
    <dataValidation type="list" sqref="N9:N23" xr:uid="{00000000-0002-0000-0100-000002000000}">
      <formula1>"Не начато,В работе,Готово,Отправлено,Отменено"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opLeftCell="A5" workbookViewId="0">
      <selection activeCell="F7" sqref="F7"/>
    </sheetView>
  </sheetViews>
  <sheetFormatPr defaultRowHeight="13.8"/>
  <cols>
    <col min="1" max="1" width="24" customWidth="1"/>
    <col min="2" max="2" width="32" customWidth="1"/>
    <col min="3" max="3" width="30" customWidth="1"/>
    <col min="4" max="4" width="26" customWidth="1"/>
    <col min="5" max="5" width="25" customWidth="1"/>
    <col min="6" max="6" width="28" customWidth="1"/>
    <col min="7" max="8" width="38" customWidth="1"/>
  </cols>
  <sheetData>
    <row r="1" spans="1:8" ht="22.35" customHeight="1">
      <c r="A1" s="19" t="s">
        <v>222</v>
      </c>
      <c r="B1" s="19"/>
      <c r="C1" s="19"/>
      <c r="D1" s="19"/>
      <c r="E1" s="19"/>
      <c r="F1" s="19"/>
      <c r="G1" s="19"/>
      <c r="H1" s="19"/>
    </row>
    <row r="2" spans="1:8" ht="25.65" customHeight="1">
      <c r="A2" s="14" t="s">
        <v>223</v>
      </c>
      <c r="B2" s="14"/>
      <c r="C2" s="14"/>
      <c r="D2" s="14"/>
      <c r="E2" s="14"/>
      <c r="F2" s="14"/>
      <c r="G2" s="14"/>
      <c r="H2" s="20"/>
    </row>
    <row r="4" spans="1:8" ht="30.45" customHeight="1">
      <c r="A4" s="25" t="s">
        <v>224</v>
      </c>
      <c r="B4" s="25" t="s">
        <v>225</v>
      </c>
      <c r="C4" s="25" t="s">
        <v>226</v>
      </c>
      <c r="D4" s="25" t="s">
        <v>227</v>
      </c>
      <c r="E4" s="25" t="s">
        <v>228</v>
      </c>
      <c r="F4" s="25" t="s">
        <v>229</v>
      </c>
      <c r="G4" s="25" t="s">
        <v>230</v>
      </c>
      <c r="H4" s="25" t="s">
        <v>231</v>
      </c>
    </row>
    <row r="5" spans="1:8" ht="59.25" customHeight="1">
      <c r="A5" s="7" t="s">
        <v>232</v>
      </c>
      <c r="B5" s="7" t="s">
        <v>233</v>
      </c>
      <c r="C5" s="7" t="s">
        <v>234</v>
      </c>
      <c r="D5" s="7" t="s">
        <v>235</v>
      </c>
      <c r="E5" s="7" t="s">
        <v>236</v>
      </c>
      <c r="F5" s="7" t="s">
        <v>237</v>
      </c>
      <c r="G5" s="7" t="s">
        <v>238</v>
      </c>
      <c r="H5" s="7" t="s">
        <v>239</v>
      </c>
    </row>
    <row r="6" spans="1:8" ht="59.25" customHeight="1">
      <c r="A6" s="9" t="s">
        <v>113</v>
      </c>
      <c r="B6" s="9" t="s">
        <v>240</v>
      </c>
      <c r="C6" s="9" t="s">
        <v>241</v>
      </c>
      <c r="D6" s="9" t="s">
        <v>242</v>
      </c>
      <c r="E6" s="9" t="s">
        <v>243</v>
      </c>
      <c r="F6" s="9" t="s">
        <v>244</v>
      </c>
      <c r="G6" s="9" t="s">
        <v>245</v>
      </c>
      <c r="H6" s="7" t="s">
        <v>246</v>
      </c>
    </row>
    <row r="7" spans="1:8" ht="59.25" customHeight="1">
      <c r="A7" s="7" t="s">
        <v>247</v>
      </c>
      <c r="B7" s="7" t="s">
        <v>248</v>
      </c>
      <c r="C7" s="7" t="s">
        <v>249</v>
      </c>
      <c r="D7" s="7" t="s">
        <v>250</v>
      </c>
      <c r="E7" s="7" t="s">
        <v>251</v>
      </c>
      <c r="F7" s="7" t="s">
        <v>252</v>
      </c>
      <c r="G7" s="7" t="s">
        <v>253</v>
      </c>
      <c r="H7" s="7" t="s">
        <v>254</v>
      </c>
    </row>
    <row r="8" spans="1:8" ht="59.25" customHeight="1">
      <c r="A8" s="9" t="s">
        <v>255</v>
      </c>
      <c r="B8" s="9" t="s">
        <v>256</v>
      </c>
      <c r="C8" s="9" t="s">
        <v>257</v>
      </c>
      <c r="D8" s="9" t="s">
        <v>258</v>
      </c>
      <c r="E8" s="9" t="s">
        <v>259</v>
      </c>
      <c r="F8" s="9" t="s">
        <v>260</v>
      </c>
      <c r="G8" s="9" t="s">
        <v>261</v>
      </c>
      <c r="H8" s="7" t="s">
        <v>262</v>
      </c>
    </row>
    <row r="9" spans="1:8" ht="59.25" customHeight="1">
      <c r="A9" s="7" t="s">
        <v>263</v>
      </c>
      <c r="B9" s="7" t="s">
        <v>264</v>
      </c>
      <c r="C9" s="7" t="s">
        <v>265</v>
      </c>
      <c r="D9" s="7" t="s">
        <v>266</v>
      </c>
      <c r="E9" s="7" t="s">
        <v>267</v>
      </c>
      <c r="F9" s="7" t="s">
        <v>268</v>
      </c>
      <c r="G9" s="7" t="s">
        <v>269</v>
      </c>
      <c r="H9" s="7" t="s">
        <v>270</v>
      </c>
    </row>
    <row r="10" spans="1:8" ht="59.25" customHeight="1">
      <c r="A10" s="9" t="s">
        <v>271</v>
      </c>
      <c r="B10" s="9" t="s">
        <v>272</v>
      </c>
      <c r="C10" s="9" t="s">
        <v>273</v>
      </c>
      <c r="D10" s="9" t="s">
        <v>274</v>
      </c>
      <c r="E10" s="9" t="s">
        <v>275</v>
      </c>
      <c r="F10" s="9" t="s">
        <v>146</v>
      </c>
      <c r="G10" s="9" t="s">
        <v>276</v>
      </c>
      <c r="H10" s="7" t="s">
        <v>277</v>
      </c>
    </row>
    <row r="11" spans="1:8" ht="59.25" customHeight="1">
      <c r="A11" s="7" t="s">
        <v>278</v>
      </c>
      <c r="B11" s="7" t="s">
        <v>279</v>
      </c>
      <c r="C11" s="7" t="s">
        <v>280</v>
      </c>
      <c r="D11" s="7" t="s">
        <v>281</v>
      </c>
      <c r="E11" s="7" t="s">
        <v>282</v>
      </c>
      <c r="F11" s="7" t="s">
        <v>283</v>
      </c>
      <c r="G11" s="7" t="s">
        <v>284</v>
      </c>
      <c r="H11" s="7" t="s">
        <v>285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topLeftCell="A11" workbookViewId="0">
      <selection activeCell="D16" sqref="D16"/>
    </sheetView>
  </sheetViews>
  <sheetFormatPr defaultRowHeight="13.8"/>
  <cols>
    <col min="1" max="1" width="25" customWidth="1"/>
    <col min="2" max="2" width="26" customWidth="1"/>
    <col min="3" max="3" width="31" customWidth="1"/>
    <col min="4" max="4" width="56" customWidth="1"/>
    <col min="5" max="5" width="28" customWidth="1"/>
    <col min="6" max="6" width="42" customWidth="1"/>
  </cols>
  <sheetData>
    <row r="1" spans="1:6" ht="22.35" customHeight="1">
      <c r="A1" s="19" t="s">
        <v>286</v>
      </c>
      <c r="B1" s="19"/>
      <c r="C1" s="19"/>
      <c r="D1" s="19"/>
      <c r="E1" s="19"/>
      <c r="F1" s="19"/>
    </row>
    <row r="2" spans="1:6" ht="25.65" customHeight="1">
      <c r="A2" s="14" t="s">
        <v>287</v>
      </c>
      <c r="B2" s="14"/>
      <c r="C2" s="14"/>
      <c r="D2" s="14"/>
      <c r="E2" s="14"/>
      <c r="F2" s="20"/>
    </row>
    <row r="4" spans="1:6">
      <c r="A4" s="25" t="s">
        <v>61</v>
      </c>
      <c r="B4" s="25" t="s">
        <v>288</v>
      </c>
      <c r="C4" s="25" t="s">
        <v>289</v>
      </c>
      <c r="D4" s="25" t="s">
        <v>290</v>
      </c>
      <c r="E4" s="25" t="s">
        <v>69</v>
      </c>
      <c r="F4" s="25" t="s">
        <v>291</v>
      </c>
    </row>
    <row r="5" spans="1:6" ht="70.349999999999994" customHeight="1">
      <c r="A5" s="7" t="s">
        <v>292</v>
      </c>
      <c r="B5" s="7" t="s">
        <v>151</v>
      </c>
      <c r="C5" s="7" t="s">
        <v>293</v>
      </c>
      <c r="D5" s="7" t="s">
        <v>294</v>
      </c>
      <c r="E5" s="7" t="s">
        <v>295</v>
      </c>
      <c r="F5" s="7" t="s">
        <v>296</v>
      </c>
    </row>
    <row r="6" spans="1:6" ht="70.349999999999994" customHeight="1">
      <c r="A6" s="9" t="s">
        <v>297</v>
      </c>
      <c r="B6" s="9" t="s">
        <v>298</v>
      </c>
      <c r="C6" s="9" t="s">
        <v>299</v>
      </c>
      <c r="D6" s="9" t="s">
        <v>300</v>
      </c>
      <c r="E6" s="9" t="s">
        <v>301</v>
      </c>
      <c r="F6" s="7" t="s">
        <v>302</v>
      </c>
    </row>
    <row r="7" spans="1:6" ht="70.349999999999994" customHeight="1">
      <c r="A7" s="7" t="s">
        <v>303</v>
      </c>
      <c r="B7" s="7" t="s">
        <v>304</v>
      </c>
      <c r="C7" s="7" t="s">
        <v>305</v>
      </c>
      <c r="D7" s="7" t="s">
        <v>306</v>
      </c>
      <c r="E7" s="7" t="s">
        <v>307</v>
      </c>
      <c r="F7" s="7" t="s">
        <v>308</v>
      </c>
    </row>
    <row r="8" spans="1:6" ht="70.349999999999994" customHeight="1">
      <c r="A8" s="9" t="s">
        <v>309</v>
      </c>
      <c r="B8" s="9" t="s">
        <v>310</v>
      </c>
      <c r="C8" s="9" t="s">
        <v>311</v>
      </c>
      <c r="D8" s="9" t="s">
        <v>312</v>
      </c>
      <c r="E8" s="9" t="s">
        <v>313</v>
      </c>
      <c r="F8" s="7" t="s">
        <v>314</v>
      </c>
    </row>
    <row r="9" spans="1:6" ht="70.349999999999994" customHeight="1">
      <c r="A9" s="7" t="s">
        <v>315</v>
      </c>
      <c r="B9" s="7" t="s">
        <v>316</v>
      </c>
      <c r="C9" s="7" t="s">
        <v>317</v>
      </c>
      <c r="D9" s="7" t="s">
        <v>318</v>
      </c>
      <c r="E9" s="7" t="s">
        <v>128</v>
      </c>
      <c r="F9" s="7" t="s">
        <v>319</v>
      </c>
    </row>
    <row r="10" spans="1:6" ht="70.349999999999994" customHeight="1">
      <c r="A10" s="9" t="s">
        <v>139</v>
      </c>
      <c r="B10" s="9" t="s">
        <v>320</v>
      </c>
      <c r="C10" s="9" t="s">
        <v>321</v>
      </c>
      <c r="D10" s="9" t="s">
        <v>322</v>
      </c>
      <c r="E10" s="9" t="s">
        <v>323</v>
      </c>
      <c r="F10" s="7" t="s">
        <v>324</v>
      </c>
    </row>
    <row r="11" spans="1:6" ht="70.349999999999994" customHeight="1">
      <c r="A11" s="7" t="s">
        <v>325</v>
      </c>
      <c r="B11" s="7" t="s">
        <v>160</v>
      </c>
      <c r="C11" s="7" t="s">
        <v>326</v>
      </c>
      <c r="D11" s="7" t="s">
        <v>327</v>
      </c>
      <c r="E11" s="7" t="s">
        <v>328</v>
      </c>
      <c r="F11" s="7" t="s">
        <v>329</v>
      </c>
    </row>
    <row r="12" spans="1:6" ht="70.349999999999994" customHeight="1">
      <c r="A12" s="7" t="s">
        <v>167</v>
      </c>
      <c r="B12" s="7" t="s">
        <v>330</v>
      </c>
      <c r="C12" s="7" t="s">
        <v>331</v>
      </c>
      <c r="D12" s="7" t="s">
        <v>332</v>
      </c>
      <c r="E12" s="7" t="s">
        <v>173</v>
      </c>
      <c r="F12" s="7" t="s">
        <v>333</v>
      </c>
    </row>
    <row r="13" spans="1:6" ht="70.349999999999994" customHeight="1">
      <c r="A13" s="7" t="s">
        <v>186</v>
      </c>
      <c r="B13" s="7" t="s">
        <v>188</v>
      </c>
      <c r="C13" s="7" t="s">
        <v>334</v>
      </c>
      <c r="D13" s="7" t="s">
        <v>335</v>
      </c>
      <c r="E13" s="7" t="s">
        <v>336</v>
      </c>
      <c r="F13" s="7" t="s">
        <v>337</v>
      </c>
    </row>
    <row r="14" spans="1:6" ht="70.349999999999994" customHeight="1">
      <c r="A14" s="7" t="s">
        <v>338</v>
      </c>
      <c r="B14" s="7" t="s">
        <v>339</v>
      </c>
      <c r="C14" s="7" t="s">
        <v>340</v>
      </c>
      <c r="D14" s="7" t="s">
        <v>341</v>
      </c>
      <c r="E14" s="7" t="s">
        <v>202</v>
      </c>
      <c r="F14" s="7" t="s">
        <v>342</v>
      </c>
    </row>
    <row r="15" spans="1:6" ht="70.349999999999994" customHeight="1">
      <c r="A15" s="7" t="s">
        <v>205</v>
      </c>
      <c r="B15" s="7" t="s">
        <v>343</v>
      </c>
      <c r="C15" s="7" t="s">
        <v>344</v>
      </c>
      <c r="D15" s="7" t="s">
        <v>345</v>
      </c>
      <c r="E15" s="7" t="s">
        <v>211</v>
      </c>
      <c r="F15" s="7" t="s">
        <v>346</v>
      </c>
    </row>
    <row r="16" spans="1:6" ht="70.349999999999994" customHeight="1">
      <c r="A16" s="7" t="s">
        <v>213</v>
      </c>
      <c r="B16" s="7" t="s">
        <v>215</v>
      </c>
      <c r="C16" s="7" t="s">
        <v>347</v>
      </c>
      <c r="D16" s="7" t="s">
        <v>348</v>
      </c>
      <c r="E16" s="7" t="s">
        <v>349</v>
      </c>
      <c r="F16" s="7" t="s">
        <v>350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topLeftCell="A5" workbookViewId="0">
      <selection activeCell="A13" sqref="A13"/>
    </sheetView>
  </sheetViews>
  <sheetFormatPr defaultRowHeight="13.8"/>
  <cols>
    <col min="1" max="1" width="20" customWidth="1"/>
    <col min="2" max="2" width="34" customWidth="1"/>
    <col min="3" max="3" width="28" customWidth="1"/>
    <col min="4" max="4" width="24" customWidth="1"/>
    <col min="5" max="5" width="26" customWidth="1"/>
    <col min="6" max="6" width="28" customWidth="1"/>
    <col min="7" max="7" width="44" customWidth="1"/>
  </cols>
  <sheetData>
    <row r="1" spans="1:7" ht="22.35" customHeight="1">
      <c r="A1" s="19" t="s">
        <v>351</v>
      </c>
      <c r="B1" s="19"/>
      <c r="C1" s="19"/>
      <c r="D1" s="19"/>
      <c r="E1" s="19"/>
      <c r="F1" s="19"/>
      <c r="G1" s="19"/>
    </row>
    <row r="2" spans="1:7" ht="25.65" customHeight="1">
      <c r="A2" s="20" t="s">
        <v>352</v>
      </c>
      <c r="B2" s="20"/>
      <c r="C2" s="20"/>
      <c r="D2" s="20"/>
      <c r="E2" s="20"/>
      <c r="F2" s="20"/>
      <c r="G2" s="20"/>
    </row>
    <row r="4" spans="1:7">
      <c r="A4" s="25" t="s">
        <v>73</v>
      </c>
      <c r="B4" s="25" t="s">
        <v>353</v>
      </c>
      <c r="C4" s="25" t="s">
        <v>354</v>
      </c>
      <c r="D4" s="25" t="s">
        <v>355</v>
      </c>
      <c r="E4" s="25" t="s">
        <v>186</v>
      </c>
      <c r="F4" s="25" t="s">
        <v>356</v>
      </c>
      <c r="G4" s="25" t="s">
        <v>357</v>
      </c>
    </row>
    <row r="5" spans="1:7" ht="51.15" customHeight="1">
      <c r="A5" s="7" t="s">
        <v>358</v>
      </c>
      <c r="B5" s="7" t="s">
        <v>359</v>
      </c>
      <c r="C5" s="7" t="s">
        <v>40</v>
      </c>
      <c r="D5" s="7" t="s">
        <v>47</v>
      </c>
      <c r="E5" s="7" t="s">
        <v>47</v>
      </c>
      <c r="F5" s="7" t="s">
        <v>47</v>
      </c>
      <c r="G5" s="7" t="s">
        <v>360</v>
      </c>
    </row>
    <row r="6" spans="1:7" ht="51.15" customHeight="1">
      <c r="A6" s="7" t="s">
        <v>361</v>
      </c>
      <c r="B6" s="7" t="s">
        <v>362</v>
      </c>
      <c r="C6" s="7" t="s">
        <v>363</v>
      </c>
      <c r="D6" s="7" t="s">
        <v>47</v>
      </c>
      <c r="E6" s="7" t="s">
        <v>47</v>
      </c>
      <c r="F6" s="7" t="s">
        <v>47</v>
      </c>
      <c r="G6" s="7" t="s">
        <v>364</v>
      </c>
    </row>
    <row r="7" spans="1:7" ht="51.15" customHeight="1">
      <c r="A7" s="7" t="s">
        <v>365</v>
      </c>
      <c r="B7" s="7" t="s">
        <v>366</v>
      </c>
      <c r="C7" s="7" t="s">
        <v>47</v>
      </c>
      <c r="D7" s="7" t="s">
        <v>40</v>
      </c>
      <c r="E7" s="7" t="s">
        <v>40</v>
      </c>
      <c r="F7" s="7" t="s">
        <v>367</v>
      </c>
      <c r="G7" s="7" t="s">
        <v>368</v>
      </c>
    </row>
    <row r="8" spans="1:7" ht="51.15" customHeight="1">
      <c r="A8" s="7" t="s">
        <v>369</v>
      </c>
      <c r="B8" s="7" t="s">
        <v>370</v>
      </c>
      <c r="C8" s="7" t="s">
        <v>47</v>
      </c>
      <c r="D8" s="7" t="s">
        <v>40</v>
      </c>
      <c r="E8" s="7" t="s">
        <v>40</v>
      </c>
      <c r="F8" s="7" t="s">
        <v>367</v>
      </c>
      <c r="G8" s="7" t="s">
        <v>371</v>
      </c>
    </row>
    <row r="9" spans="1:7" ht="51.15" customHeight="1">
      <c r="A9" s="7" t="s">
        <v>372</v>
      </c>
      <c r="B9" s="7" t="s">
        <v>373</v>
      </c>
      <c r="C9" s="7" t="s">
        <v>47</v>
      </c>
      <c r="D9" s="7" t="s">
        <v>47</v>
      </c>
      <c r="E9" s="7" t="s">
        <v>47</v>
      </c>
      <c r="F9" s="7" t="s">
        <v>374</v>
      </c>
      <c r="G9" s="7" t="s">
        <v>375</v>
      </c>
    </row>
    <row r="10" spans="1:7" ht="51.15" customHeight="1">
      <c r="A10" s="7" t="s">
        <v>376</v>
      </c>
      <c r="B10" s="7" t="s">
        <v>377</v>
      </c>
      <c r="C10" s="7" t="s">
        <v>378</v>
      </c>
      <c r="D10" s="7" t="s">
        <v>379</v>
      </c>
      <c r="E10" s="7" t="s">
        <v>380</v>
      </c>
      <c r="F10" s="7" t="s">
        <v>40</v>
      </c>
      <c r="G10" s="7" t="s">
        <v>381</v>
      </c>
    </row>
    <row r="11" spans="1:7" ht="51.15" customHeight="1">
      <c r="A11" s="7" t="s">
        <v>382</v>
      </c>
      <c r="B11" s="7" t="s">
        <v>383</v>
      </c>
      <c r="C11" s="7" t="s">
        <v>47</v>
      </c>
      <c r="D11" s="7" t="s">
        <v>384</v>
      </c>
      <c r="E11" s="7" t="s">
        <v>384</v>
      </c>
      <c r="F11" s="7" t="s">
        <v>40</v>
      </c>
      <c r="G11" s="7" t="s">
        <v>385</v>
      </c>
    </row>
    <row r="12" spans="1:7" ht="51.15" customHeight="1">
      <c r="A12" s="7" t="s">
        <v>386</v>
      </c>
      <c r="B12" s="7" t="s">
        <v>387</v>
      </c>
      <c r="C12" s="7" t="s">
        <v>47</v>
      </c>
      <c r="D12" s="7" t="s">
        <v>384</v>
      </c>
      <c r="E12" s="7" t="s">
        <v>384</v>
      </c>
      <c r="F12" s="7" t="s">
        <v>388</v>
      </c>
      <c r="G12" s="7" t="s">
        <v>389</v>
      </c>
    </row>
    <row r="13" spans="1:7" ht="51.15" customHeight="1">
      <c r="A13" s="7" t="s">
        <v>390</v>
      </c>
      <c r="B13" s="7" t="s">
        <v>391</v>
      </c>
      <c r="C13" s="7" t="s">
        <v>47</v>
      </c>
      <c r="D13" s="7" t="s">
        <v>47</v>
      </c>
      <c r="E13" s="7" t="s">
        <v>47</v>
      </c>
      <c r="F13" s="7" t="s">
        <v>47</v>
      </c>
      <c r="G13" s="7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Настройки</vt:lpstr>
      <vt:lpstr>Коммуникационный календарь</vt:lpstr>
      <vt:lpstr>Аудитории и каналы</vt:lpstr>
      <vt:lpstr>Шаблоны сообщений</vt:lpstr>
      <vt:lpstr>Статусы и правила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Кочева</dc:creator>
  <cp:lastModifiedBy>Ольга Кочева</cp:lastModifiedBy>
  <dcterms:modified xsi:type="dcterms:W3CDTF">2026-09-28T04:50:24Z</dcterms:modified>
</cp:coreProperties>
</file>