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юджет Делай-саммит" sheetId="1" r:id="rId5"/>
  </sheets>
  <definedNames/>
  <calcPr/>
</workbook>
</file>

<file path=xl/sharedStrings.xml><?xml version="1.0" encoding="utf-8"?>
<sst xmlns="http://schemas.openxmlformats.org/spreadsheetml/2006/main" count="34" uniqueCount="27">
  <si>
    <t>Статья расходов</t>
  </si>
  <si>
    <t>Количество</t>
  </si>
  <si>
    <t>Бюджет проекта (лимит)</t>
  </si>
  <si>
    <t>Потребность</t>
  </si>
  <si>
    <t>Уже есть (партнерский вклад)</t>
  </si>
  <si>
    <t>Нужно из бюджета проекта</t>
  </si>
  <si>
    <t>Остаток бюджета</t>
  </si>
  <si>
    <t>Стоимость</t>
  </si>
  <si>
    <t>Нужно из бюджета (₽)</t>
  </si>
  <si>
    <t>Факт (₽)</t>
  </si>
  <si>
    <t>Комментарии</t>
  </si>
  <si>
    <t>Аренда  (дни)</t>
  </si>
  <si>
    <t>Предоставляют партнеры</t>
  </si>
  <si>
    <t>Расходы на печать материалов</t>
  </si>
  <si>
    <t>Звук (микрофоны, колонки)</t>
  </si>
  <si>
    <t>Кофе-брейк (кол-во участников)</t>
  </si>
  <si>
    <t>Питание (кол-во участников)</t>
  </si>
  <si>
    <t>Вода (кол-во участников)</t>
  </si>
  <si>
    <t>Канцелярия, расходные материалы</t>
  </si>
  <si>
    <t>Гонорар ведущего (кол-во ведущих)</t>
  </si>
  <si>
    <t>Проезд иногородних (кол-во человек)</t>
  </si>
  <si>
    <t>Проживание иногородних (кол-во ночей)</t>
  </si>
  <si>
    <t>Координатор</t>
  </si>
  <si>
    <t xml:space="preserve">Помощник </t>
  </si>
  <si>
    <t>Волонтеры</t>
  </si>
  <si>
    <t>SMM-специалист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</si>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</sst>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b/>
      <sz val="11.0"/>
      <color rgb="FF434343"/>
      <name val="Roboto"/>
    </font>
    <font>
      <sz val="11.0"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Font="1"/>
    <xf borderId="0" fillId="0" fontId="3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2">
    <tableStyle count="4" pivot="0" name="Бюджет Делай-саммит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Бюджет Делай-саммит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Бюджет_итого" name="Бюджет_итого" id="1">
  <tableColumns count="2">
    <tableColumn name="Статья расходов" id="1"/>
    <tableColumn name="Количество" id="2"/>
  </tableColumns>
  <tableStyleInfo name="Бюджет Делай-саммит-style" showColumnStripes="0" showFirstColumn="1" showLastColumn="1" showRowStripes="1"/>
</table>
</file>

<file path=xl/tables/table2.xml><?xml version="1.0" encoding="utf-8"?>
<table xmlns="http://schemas.openxmlformats.org/spreadsheetml/2006/main" ref="A9:H23" displayName="Таблица1" name="Таблица1" id="2">
  <tableColumns count="8">
    <tableColumn name="Статья расходов" id="1"/>
    <tableColumn name="Количество" id="2"/>
    <tableColumn name="Стоимость" id="3"/>
    <tableColumn name="Потребность" id="4"/>
    <tableColumn name="Уже есть (партнерский вклад)" id="5"/>
    <tableColumn name="Нужно из бюджета (₽)" id="6"/>
    <tableColumn name="Факт (₽)" id="7"/>
    <tableColumn name="Комментарии" id="8"/>
  </tableColumns>
  <tableStyleInfo name="Бюджет Делай-саммит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16.0"/>
    <col customWidth="1" min="3" max="3" width="16.25"/>
    <col customWidth="1" min="4" max="4" width="18.63"/>
    <col customWidth="1" min="5" max="5" width="21.25"/>
    <col customWidth="1" min="6" max="6" width="18.5"/>
    <col customWidth="1" min="8" max="8" width="24.63"/>
  </cols>
  <sheetData>
    <row r="1" ht="22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 ht="22.5" customHeight="1">
      <c r="A2" s="3" t="s">
        <v>2</v>
      </c>
      <c r="B2" s="4">
        <v>200000.0</v>
      </c>
      <c r="C2" s="2"/>
      <c r="D2" s="2"/>
      <c r="E2" s="2"/>
      <c r="F2" s="2"/>
      <c r="G2" s="2"/>
      <c r="H2" s="2"/>
      <c r="I2" s="2"/>
      <c r="J2" s="2"/>
    </row>
    <row r="3" ht="22.5" customHeight="1">
      <c r="A3" s="3" t="s">
        <v>3</v>
      </c>
      <c r="B3" s="5">
        <f>D23</f>
        <v>232000</v>
      </c>
      <c r="C3" s="2"/>
      <c r="D3" s="2"/>
      <c r="E3" s="2"/>
      <c r="F3" s="2"/>
      <c r="G3" s="2"/>
      <c r="H3" s="2"/>
      <c r="I3" s="2"/>
      <c r="J3" s="2"/>
    </row>
    <row r="4" ht="22.5" customHeight="1">
      <c r="A4" s="3" t="s">
        <v>4</v>
      </c>
      <c r="B4" s="5">
        <f>E23</f>
        <v>88000</v>
      </c>
      <c r="C4" s="2"/>
      <c r="D4" s="2"/>
      <c r="E4" s="2"/>
      <c r="F4" s="2"/>
      <c r="G4" s="2"/>
      <c r="H4" s="2"/>
      <c r="I4" s="2"/>
      <c r="J4" s="2"/>
    </row>
    <row r="5" ht="22.5" customHeight="1">
      <c r="A5" s="3" t="s">
        <v>5</v>
      </c>
      <c r="B5" s="5">
        <f>F23</f>
        <v>144000</v>
      </c>
      <c r="C5" s="2"/>
      <c r="D5" s="2"/>
      <c r="E5" s="2"/>
      <c r="F5" s="2"/>
      <c r="G5" s="2"/>
      <c r="H5" s="2"/>
      <c r="I5" s="2"/>
      <c r="J5" s="2"/>
    </row>
    <row r="6" ht="22.5" customHeight="1">
      <c r="A6" s="3" t="s">
        <v>6</v>
      </c>
      <c r="B6" s="5">
        <f>B2-B5</f>
        <v>56000</v>
      </c>
      <c r="C6" s="2"/>
      <c r="D6" s="2"/>
      <c r="E6" s="2"/>
      <c r="F6" s="2"/>
      <c r="G6" s="2"/>
      <c r="H6" s="2"/>
      <c r="I6" s="2"/>
      <c r="J6" s="2"/>
    </row>
    <row r="7">
      <c r="A7" s="6"/>
      <c r="B7" s="7"/>
      <c r="C7" s="2"/>
      <c r="D7" s="2"/>
      <c r="E7" s="2"/>
      <c r="F7" s="2"/>
      <c r="G7" s="2"/>
      <c r="H7" s="2"/>
      <c r="I7" s="2"/>
      <c r="J7" s="2"/>
    </row>
    <row r="8">
      <c r="A8" s="6"/>
      <c r="B8" s="7"/>
      <c r="C8" s="2"/>
      <c r="D8" s="2"/>
      <c r="E8" s="2"/>
      <c r="F8" s="2"/>
      <c r="G8" s="2"/>
      <c r="H8" s="2"/>
      <c r="I8" s="2"/>
      <c r="J8" s="2"/>
    </row>
    <row r="9" ht="22.5" customHeight="1">
      <c r="A9" s="1" t="s">
        <v>0</v>
      </c>
      <c r="B9" s="1" t="s">
        <v>1</v>
      </c>
      <c r="C9" s="1" t="s">
        <v>7</v>
      </c>
      <c r="D9" s="1" t="s">
        <v>3</v>
      </c>
      <c r="E9" s="1" t="s">
        <v>4</v>
      </c>
      <c r="F9" s="1" t="s">
        <v>8</v>
      </c>
      <c r="G9" s="1" t="s">
        <v>9</v>
      </c>
      <c r="H9" s="8" t="s">
        <v>10</v>
      </c>
      <c r="I9" s="2"/>
      <c r="J9" s="2"/>
    </row>
    <row r="10" ht="22.5" customHeight="1">
      <c r="A10" s="3" t="s">
        <v>11</v>
      </c>
      <c r="B10" s="9">
        <v>2.0</v>
      </c>
      <c r="C10" s="9">
        <v>20000.0</v>
      </c>
      <c r="D10" s="10">
        <f t="shared" ref="D10:D22" si="1">PRODUCT(B10,C10)</f>
        <v>40000</v>
      </c>
      <c r="E10" s="9">
        <v>20000.0</v>
      </c>
      <c r="F10" s="10">
        <f t="shared" ref="F10:F23" si="2">(D10-E10)</f>
        <v>20000</v>
      </c>
      <c r="G10" s="11"/>
      <c r="H10" s="12" t="s">
        <v>12</v>
      </c>
      <c r="I10" s="2"/>
      <c r="J10" s="2"/>
    </row>
    <row r="11" ht="22.5" customHeight="1">
      <c r="A11" s="3" t="s">
        <v>13</v>
      </c>
      <c r="B11" s="9">
        <v>100.0</v>
      </c>
      <c r="C11" s="9">
        <v>30.0</v>
      </c>
      <c r="D11" s="10">
        <f t="shared" si="1"/>
        <v>3000</v>
      </c>
      <c r="E11" s="9">
        <v>3000.0</v>
      </c>
      <c r="F11" s="10">
        <f t="shared" si="2"/>
        <v>0</v>
      </c>
      <c r="G11" s="11"/>
      <c r="H11" s="13"/>
      <c r="I11" s="2"/>
      <c r="J11" s="2"/>
    </row>
    <row r="12" ht="22.5" customHeight="1">
      <c r="A12" s="3" t="s">
        <v>14</v>
      </c>
      <c r="B12" s="9">
        <v>2.0</v>
      </c>
      <c r="C12" s="9">
        <v>5000.0</v>
      </c>
      <c r="D12" s="10">
        <f t="shared" si="1"/>
        <v>10000</v>
      </c>
      <c r="E12" s="9">
        <v>10000.0</v>
      </c>
      <c r="F12" s="10">
        <f t="shared" si="2"/>
        <v>0</v>
      </c>
      <c r="G12" s="11"/>
      <c r="H12" s="13"/>
      <c r="I12" s="2"/>
      <c r="J12" s="2"/>
    </row>
    <row r="13" ht="22.5" customHeight="1">
      <c r="A13" s="3" t="s">
        <v>15</v>
      </c>
      <c r="B13" s="9">
        <v>100.0</v>
      </c>
      <c r="C13" s="9">
        <v>200.0</v>
      </c>
      <c r="D13" s="10">
        <f t="shared" si="1"/>
        <v>20000</v>
      </c>
      <c r="E13" s="10"/>
      <c r="F13" s="10">
        <f t="shared" si="2"/>
        <v>20000</v>
      </c>
      <c r="G13" s="11"/>
      <c r="H13" s="13"/>
      <c r="I13" s="2"/>
      <c r="J13" s="2"/>
    </row>
    <row r="14" ht="22.5" customHeight="1">
      <c r="A14" s="3" t="s">
        <v>16</v>
      </c>
      <c r="B14" s="9">
        <v>50.0</v>
      </c>
      <c r="C14" s="9">
        <v>500.0</v>
      </c>
      <c r="D14" s="10">
        <f t="shared" si="1"/>
        <v>25000</v>
      </c>
      <c r="E14" s="9">
        <v>25000.0</v>
      </c>
      <c r="F14" s="10">
        <f t="shared" si="2"/>
        <v>0</v>
      </c>
      <c r="G14" s="11"/>
      <c r="H14" s="12" t="s">
        <v>12</v>
      </c>
      <c r="I14" s="2"/>
      <c r="J14" s="2"/>
    </row>
    <row r="15" ht="22.5" customHeight="1">
      <c r="A15" s="3" t="s">
        <v>17</v>
      </c>
      <c r="B15" s="9">
        <v>100.0</v>
      </c>
      <c r="C15" s="9">
        <v>50.0</v>
      </c>
      <c r="D15" s="10">
        <f t="shared" si="1"/>
        <v>5000</v>
      </c>
      <c r="E15" s="10"/>
      <c r="F15" s="10">
        <f t="shared" si="2"/>
        <v>5000</v>
      </c>
      <c r="G15" s="11"/>
      <c r="H15" s="13"/>
      <c r="I15" s="2"/>
      <c r="J15" s="2"/>
    </row>
    <row r="16" ht="22.5" customHeight="1">
      <c r="A16" s="3" t="s">
        <v>18</v>
      </c>
      <c r="B16" s="9">
        <v>1.0</v>
      </c>
      <c r="C16" s="9">
        <v>3000.0</v>
      </c>
      <c r="D16" s="10">
        <f t="shared" si="1"/>
        <v>3000</v>
      </c>
      <c r="E16" s="10"/>
      <c r="F16" s="10">
        <f t="shared" si="2"/>
        <v>3000</v>
      </c>
      <c r="G16" s="11"/>
      <c r="H16" s="13"/>
      <c r="I16" s="2"/>
      <c r="J16" s="2"/>
    </row>
    <row r="17" ht="22.5" customHeight="1">
      <c r="A17" s="3" t="s">
        <v>19</v>
      </c>
      <c r="B17" s="9">
        <v>5.0</v>
      </c>
      <c r="C17" s="9">
        <v>10000.0</v>
      </c>
      <c r="D17" s="10">
        <f t="shared" si="1"/>
        <v>50000</v>
      </c>
      <c r="E17" s="9"/>
      <c r="F17" s="10">
        <f t="shared" si="2"/>
        <v>50000</v>
      </c>
      <c r="G17" s="11"/>
      <c r="H17" s="12" t="s">
        <v>12</v>
      </c>
      <c r="I17" s="2"/>
      <c r="J17" s="2"/>
    </row>
    <row r="18" ht="22.5" customHeight="1">
      <c r="A18" s="3" t="s">
        <v>20</v>
      </c>
      <c r="B18" s="9">
        <v>2.0</v>
      </c>
      <c r="C18" s="9">
        <v>5000.0</v>
      </c>
      <c r="D18" s="10">
        <f t="shared" si="1"/>
        <v>10000</v>
      </c>
      <c r="E18" s="10"/>
      <c r="F18" s="10">
        <f t="shared" si="2"/>
        <v>10000</v>
      </c>
      <c r="G18" s="11"/>
      <c r="H18" s="13"/>
      <c r="I18" s="2"/>
      <c r="J18" s="2"/>
    </row>
    <row r="19" ht="22.5" customHeight="1">
      <c r="A19" s="3" t="s">
        <v>21</v>
      </c>
      <c r="B19" s="9">
        <v>4.0</v>
      </c>
      <c r="C19" s="9">
        <v>4000.0</v>
      </c>
      <c r="D19" s="10">
        <f t="shared" si="1"/>
        <v>16000</v>
      </c>
      <c r="E19" s="10"/>
      <c r="F19" s="10">
        <f t="shared" si="2"/>
        <v>16000</v>
      </c>
      <c r="G19" s="11"/>
      <c r="H19" s="13"/>
      <c r="I19" s="2"/>
      <c r="J19" s="2"/>
    </row>
    <row r="20" ht="22.5" customHeight="1">
      <c r="A20" s="3" t="s">
        <v>22</v>
      </c>
      <c r="B20" s="9">
        <v>1.0</v>
      </c>
      <c r="C20" s="9">
        <v>20000.0</v>
      </c>
      <c r="D20" s="10">
        <f t="shared" si="1"/>
        <v>20000</v>
      </c>
      <c r="E20" s="10"/>
      <c r="F20" s="10">
        <f t="shared" si="2"/>
        <v>20000</v>
      </c>
      <c r="G20" s="11"/>
      <c r="H20" s="13"/>
      <c r="I20" s="2"/>
      <c r="J20" s="2"/>
    </row>
    <row r="21" ht="22.5" customHeight="1">
      <c r="A21" s="14" t="s">
        <v>23</v>
      </c>
      <c r="B21" s="9">
        <v>2.0</v>
      </c>
      <c r="C21" s="9">
        <v>10000.0</v>
      </c>
      <c r="D21" s="10">
        <f t="shared" si="1"/>
        <v>20000</v>
      </c>
      <c r="E21" s="9">
        <v>20000.0</v>
      </c>
      <c r="F21" s="10">
        <f t="shared" si="2"/>
        <v>0</v>
      </c>
      <c r="G21" s="11"/>
      <c r="H21" s="12" t="s">
        <v>24</v>
      </c>
      <c r="I21" s="2"/>
      <c r="J21" s="2"/>
    </row>
    <row r="22" ht="22.5" customHeight="1">
      <c r="A22" s="3" t="s">
        <v>25</v>
      </c>
      <c r="B22" s="9">
        <v>1.0</v>
      </c>
      <c r="C22" s="9">
        <v>10000.0</v>
      </c>
      <c r="D22" s="10">
        <f t="shared" si="1"/>
        <v>10000</v>
      </c>
      <c r="E22" s="9">
        <v>10000.0</v>
      </c>
      <c r="F22" s="10">
        <f t="shared" si="2"/>
        <v>0</v>
      </c>
      <c r="G22" s="11"/>
      <c r="H22" s="12" t="s">
        <v>12</v>
      </c>
      <c r="I22" s="2"/>
      <c r="J22" s="2"/>
    </row>
    <row r="23" ht="22.5" customHeight="1">
      <c r="A23" s="14" t="s">
        <v>26</v>
      </c>
      <c r="B23" s="9"/>
      <c r="C23" s="10"/>
      <c r="D23" s="10">
        <f t="shared" ref="D23:E23" si="3">SUM(D10:D22)</f>
        <v>232000</v>
      </c>
      <c r="E23" s="10">
        <f t="shared" si="3"/>
        <v>88000</v>
      </c>
      <c r="F23" s="10">
        <f t="shared" si="2"/>
        <v>144000</v>
      </c>
      <c r="G23" s="11"/>
      <c r="H23" s="13"/>
      <c r="I23" s="2"/>
      <c r="J23" s="2"/>
    </row>
  </sheetData>
  <dataValidations>
    <dataValidation type="custom" allowBlank="1" showDropDown="1" sqref="B2:B6 B10:F23">
      <formula1>AND(ISNUMBER(B2),(NOT(OR(NOT(ISERROR(DATEVALUE(B2))), AND(ISNUMBER(B2), LEFT(CELL("format", B2))="D")))))</formula1>
    </dataValidation>
    <dataValidation allowBlank="1" showDropDown="1" sqref="A2:A6 A10:A23 G10:G23"/>
  </dataValidations>
  <drawing r:id="rId1"/>
  <tableParts count="2">
    <tablePart r:id="rId4"/>
    <tablePart r:id="rId5"/>
  </tableParts>
</worksheet>
</file>