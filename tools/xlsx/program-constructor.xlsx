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лный список" sheetId="1" r:id="rId5"/>
    <sheet state="visible" name="День 1" sheetId="2" r:id="rId6"/>
    <sheet state="visible" name="День 2" sheetId="3" r:id="rId7"/>
    <sheet state="visible" name="День 3" sheetId="4" r:id="rId8"/>
  </sheets>
  <definedNames>
    <definedName hidden="1" localSheetId="0" name="_xlnm._FilterDatabase">'Полный список'!$A$1:$H$104</definedName>
    <definedName hidden="1" localSheetId="0" name="Z_BD466CA8_1F20_45C9_8CE1_207E307A955D_.wvu.FilterData">'Полный список'!$A$1:$H$104</definedName>
    <definedName hidden="1" localSheetId="0" name="Z_8F6BC006_22E1_4192_AB21_D179737D3F87_.wvu.FilterData">'Полный список'!$A$1:$H$104</definedName>
    <definedName hidden="1" localSheetId="0" name="Z_BD54AE9F_B7D4_466A_BB48_13386E1AF3BA_.wvu.FilterData">'Полный список'!$A$1:$H$104</definedName>
  </definedNames>
  <calcPr/>
  <customWorkbookViews>
    <customWorkbookView activeSheetId="0" maximized="1" windowHeight="0" windowWidth="0" guid="{BD466CA8-1F20-45C9-8CE1-207E307A955D}" name="Основание группировки: &quot;Таметическая линия&quot;"/>
    <customWorkbookView activeSheetId="0" maximized="1" windowHeight="0" windowWidth="0" guid="{8F6BC006-22E1-4192-AB21-D179737D3F87}" name="Основание группировки: &quot;Выбор&quot;"/>
    <customWorkbookView activeSheetId="0" maximized="1" windowHeight="0" windowWidth="0" guid="{BD54AE9F-B7D4-466A-BB48-13386E1AF3BA}" name="Основание группировки: &quot;День&quot;"/>
  </customWorkbookViews>
</workbook>
</file>

<file path=xl/sharedStrings.xml><?xml version="1.0" encoding="utf-8"?>
<sst xmlns="http://schemas.openxmlformats.org/spreadsheetml/2006/main" count="652" uniqueCount="155">
  <si>
    <t>Столбец 1</t>
  </si>
  <si>
    <t>ID</t>
  </si>
  <si>
    <t>Время</t>
  </si>
  <si>
    <t>Название</t>
  </si>
  <si>
    <t>Помещение 1</t>
  </si>
  <si>
    <t>Задача</t>
  </si>
  <si>
    <t>Помещение 2</t>
  </si>
  <si>
    <t>Тематическая линия</t>
  </si>
  <si>
    <t>Город</t>
  </si>
  <si>
    <t>Место</t>
  </si>
  <si>
    <t>Учреждение</t>
  </si>
  <si>
    <t>Целевая группа</t>
  </si>
  <si>
    <t>Выбор</t>
  </si>
  <si>
    <t>Начало</t>
  </si>
  <si>
    <t>День</t>
  </si>
  <si>
    <t>11.00</t>
  </si>
  <si>
    <t xml:space="preserve">Открытие </t>
  </si>
  <si>
    <t>Сбор средств, Известность и внимание</t>
  </si>
  <si>
    <t>Линия 1 «Как сделать НКО заметной»</t>
  </si>
  <si>
    <t>НКО</t>
  </si>
  <si>
    <t>1 день</t>
  </si>
  <si>
    <t>Публичные истории изменений</t>
  </si>
  <si>
    <t>Вдохновение</t>
  </si>
  <si>
    <t>Активные жители</t>
  </si>
  <si>
    <t>12.00</t>
  </si>
  <si>
    <t>Живые рассказы от благополучателей и волонтёров</t>
  </si>
  <si>
    <t>Известность и внимание</t>
  </si>
  <si>
    <t>13.00</t>
  </si>
  <si>
    <t xml:space="preserve">Молодежь </t>
  </si>
  <si>
    <t>2 день</t>
  </si>
  <si>
    <t>После обеда</t>
  </si>
  <si>
    <t>15.00</t>
  </si>
  <si>
    <t>16.30</t>
  </si>
  <si>
    <t>Публичное интервью</t>
  </si>
  <si>
    <t>Развлечение</t>
  </si>
  <si>
    <r>
      <rPr>
        <color rgb="FF1155CC"/>
        <u/>
      </rPr>
      <t xml:space="preserve">Постер-сессия </t>
    </r>
    <r>
      <rPr/>
      <t>«Что делает НКО в городе»</t>
    </r>
  </si>
  <si>
    <t>PechaKucha</t>
  </si>
  <si>
    <t>Выставка «Город и люди: что меняется»</t>
  </si>
  <si>
    <t>3 день</t>
  </si>
  <si>
    <t>Публичная хроника саммита от лица НКО</t>
  </si>
  <si>
    <t>День открытых дверей НКО</t>
  </si>
  <si>
    <t>Пожилые</t>
  </si>
  <si>
    <t>Сессия вопросов и ответов</t>
  </si>
  <si>
    <t>Истории жителей: «Как мне помогли / как я помог»</t>
  </si>
  <si>
    <t>Открытая пресс-встреча / медиасессия</t>
  </si>
  <si>
    <t>Публичное подведение итогов с акцентом на роль НКО</t>
  </si>
  <si>
    <t>Брифинг</t>
  </si>
  <si>
    <t>Открытый микрофон</t>
  </si>
  <si>
    <t>Проектная лаборатория</t>
  </si>
  <si>
    <t>Проектирование решений</t>
  </si>
  <si>
    <t>Линия 2 «Как запустить новый сервис»</t>
  </si>
  <si>
    <t>Мини-сервисы и пилотные решения</t>
  </si>
  <si>
    <t>Быстрые сервисы взаимопомощи</t>
  </si>
  <si>
    <r>
      <rPr>
        <color rgb="FF1155CC"/>
        <u/>
      </rPr>
      <t>Ролевая симуляция</t>
    </r>
    <r>
      <rPr/>
      <t xml:space="preserve"> «Первое обращение за помощью»</t>
    </r>
  </si>
  <si>
    <t>Городская лаборатория «из опыта жителей»</t>
  </si>
  <si>
    <t>Проектная мастерская с благополучателями</t>
  </si>
  <si>
    <t>Хакатон</t>
  </si>
  <si>
    <t>Штурм-лаборатория</t>
  </si>
  <si>
    <t>Симуляция</t>
  </si>
  <si>
    <t>Дизайн-сессия</t>
  </si>
  <si>
    <t>Сбор заказов от пожилых / маломобильных</t>
  </si>
  <si>
    <t>Оказание услуг</t>
  </si>
  <si>
    <t>Городская лаборатория</t>
  </si>
  <si>
    <t>Консультации юриста / специалиста</t>
  </si>
  <si>
    <t>Медиация и разбор жизненных ситуаций</t>
  </si>
  <si>
    <t>Клубы общения пожилых</t>
  </si>
  <si>
    <t>Соседская гостиная / двор как клуб</t>
  </si>
  <si>
    <r>
      <rPr>
        <color rgb="FF1155CC"/>
        <u/>
      </rPr>
      <t>Клуб по интересам</t>
    </r>
    <r>
      <rPr/>
      <t xml:space="preserve"> (соседский)</t>
    </r>
  </si>
  <si>
    <t>Публичный разбор пилота: «что сработало / что нет»</t>
  </si>
  <si>
    <t>Обратная связь</t>
  </si>
  <si>
    <t>Краш-тест</t>
  </si>
  <si>
    <t>Питчинг (публичная презентация)</t>
  </si>
  <si>
    <t>Линия 3 «Как собрать партнёров»</t>
  </si>
  <si>
    <t>Интерактивная стена «Компетенции и ресурсы НКО»</t>
  </si>
  <si>
    <t>Поиск партнеров</t>
  </si>
  <si>
    <t>Обратный питч</t>
  </si>
  <si>
    <t>Администрация</t>
  </si>
  <si>
    <r>
      <rPr>
        <color rgb="FF1155CC"/>
        <u/>
      </rPr>
      <t>Нетворкинг</t>
    </r>
    <r>
      <rPr/>
      <t xml:space="preserve"> (Нетворкинг-сессии «НКО — МСУ — бизнес»)</t>
    </r>
  </si>
  <si>
    <t>Бизнес</t>
  </si>
  <si>
    <t>Партнёрский питчинг</t>
  </si>
  <si>
    <t>Тематический бизнес-завтрак</t>
  </si>
  <si>
    <t>Круглый стол с МСУ и учреждениями</t>
  </si>
  <si>
    <t>Ведение переговоров</t>
  </si>
  <si>
    <t>Сессия взаимных ожиданий</t>
  </si>
  <si>
    <t>Тематические встречи с учреждениями</t>
  </si>
  <si>
    <t>Ролевая симуляция «Переговоры НКО — МСУ — учреждение»</t>
  </si>
  <si>
    <t>Совместные городские действия НКО + партнёры</t>
  </si>
  <si>
    <t>Совместные действия</t>
  </si>
  <si>
    <t>Эко-патруль / общественный патруль</t>
  </si>
  <si>
    <t>Гражданский контроль / контрольные визиты</t>
  </si>
  <si>
    <t>Партнёрские проектные группы</t>
  </si>
  <si>
    <t>Мировое кафе</t>
  </si>
  <si>
    <t>Диагностика ситуации</t>
  </si>
  <si>
    <t>Линия 4 «Как собирать информацию»</t>
  </si>
  <si>
    <t>Митап</t>
  </si>
  <si>
    <t>Совместная карта партнёрств и ресурсов</t>
  </si>
  <si>
    <t>Договорённости</t>
  </si>
  <si>
    <t>Рабочая сессия «От идеи к соглашению»</t>
  </si>
  <si>
    <t>Создание координационного совета / рабочей группы</t>
  </si>
  <si>
    <t>Публичное подписание намерений о сотрудничестве</t>
  </si>
  <si>
    <t>Подведение итогов</t>
  </si>
  <si>
    <t>Участники</t>
  </si>
  <si>
    <t>СИТАН — ситуационный анализ территории</t>
  </si>
  <si>
    <t>Собираем карту проблем и ресурсов территории “Город глазами жителей”</t>
  </si>
  <si>
    <t>Семьи с детьми</t>
  </si>
  <si>
    <t>Экспресс-аудит инициатив и сервисов</t>
  </si>
  <si>
    <t>Опросники на стендах / «Стенд проблем»</t>
  </si>
  <si>
    <r>
      <rPr>
        <color rgb="FF1155CC"/>
        <u/>
      </rPr>
      <t>Суд присяжных</t>
    </r>
    <r>
      <rPr/>
      <t xml:space="preserve"> («Быть или не быть скверу»)</t>
    </r>
  </si>
  <si>
    <t>Обмен мнениями</t>
  </si>
  <si>
    <t>Публичная дискуссия</t>
  </si>
  <si>
    <t>Антиконференция</t>
  </si>
  <si>
    <t>Круги слушания</t>
  </si>
  <si>
    <t>Аквариум</t>
  </si>
  <si>
    <t>Лин-кофе</t>
  </si>
  <si>
    <t>Усиление сообществ</t>
  </si>
  <si>
    <t>Линия 5 «Как вовлечь жителей»</t>
  </si>
  <si>
    <t>Встреча соседского клуба (регулярная)</t>
  </si>
  <si>
    <r>
      <rPr>
        <color rgb="FF1155CC"/>
        <u/>
      </rPr>
      <t>Быстрые свидания</t>
    </r>
    <r>
      <rPr/>
      <t xml:space="preserve"> НКО и волонтёров</t>
    </r>
  </si>
  <si>
    <t>Абсолютно бесплатная ярмарка (free market)</t>
  </si>
  <si>
    <t>Ремонтное кафе</t>
  </si>
  <si>
    <t>Мастерские взаимопомощи (учим и учимся)</t>
  </si>
  <si>
    <t>Совместные дворовые акции</t>
  </si>
  <si>
    <t>Кухня соседской помощи / совместное чаепитие</t>
  </si>
  <si>
    <t>Клуб взаимной поддержки (родители, пожилые, подростки)</t>
  </si>
  <si>
    <t>Интерактивная стена запросов и предложений</t>
  </si>
  <si>
    <t>Игротека «Дворовые игры»</t>
  </si>
  <si>
    <t>Дебаты</t>
  </si>
  <si>
    <t>Квест</t>
  </si>
  <si>
    <t>Кинопоказ</t>
  </si>
  <si>
    <t>Фотосушка</t>
  </si>
  <si>
    <t>Плейбэк-театр</t>
  </si>
  <si>
    <t>Ток-шоу</t>
  </si>
  <si>
    <t>Конференция в стиле TED</t>
  </si>
  <si>
    <t>Живая библиотека</t>
  </si>
  <si>
    <t>Марафон</t>
  </si>
  <si>
    <r>
      <rPr>
        <color rgb="FF1155CC"/>
        <u/>
      </rPr>
      <t>Аукцион</t>
    </r>
    <r>
      <rPr/>
      <t xml:space="preserve"> (благотворительный)</t>
    </r>
  </si>
  <si>
    <t>Сбор средств</t>
  </si>
  <si>
    <t>Гаражная распродажа</t>
  </si>
  <si>
    <r>
      <rPr>
        <color rgb="FF1155CC"/>
        <u/>
      </rPr>
      <t>Забег</t>
    </r>
    <r>
      <rPr/>
      <t xml:space="preserve"> (благотворительный)</t>
    </r>
  </si>
  <si>
    <t>Форсайт</t>
  </si>
  <si>
    <t>Планирование</t>
  </si>
  <si>
    <t>Линия 6 «Как усилить НКО»</t>
  </si>
  <si>
    <t>Проектная лаборатория «Дорожная карта НКО»</t>
  </si>
  <si>
    <t>Организационная диагностика НКО</t>
  </si>
  <si>
    <t>Разбор управленческих кейсов НКО</t>
  </si>
  <si>
    <t>Индивидуальные управленческие консультации с наставниками</t>
  </si>
  <si>
    <t>Публичная фиксация управленческих решений и планов</t>
  </si>
  <si>
    <t>Стратегическая сессия</t>
  </si>
  <si>
    <t>Мастер-класс</t>
  </si>
  <si>
    <t>Обучение</t>
  </si>
  <si>
    <t>Практикум</t>
  </si>
  <si>
    <t>Обмен опытом</t>
  </si>
  <si>
    <t>Конференция провалов</t>
  </si>
  <si>
    <t>Наставничество «НКО — НКО»</t>
  </si>
  <si>
    <t>Мастермайнд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</si>
</sst>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Arial"/>
      <scheme val="minor"/>
    </font>
    <font>
      <u/>
      <color rgb="FF434343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Font="1"/>
    <xf borderId="0" fillId="0" fontId="3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День 3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День 2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День 1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Полный список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2" pivot="0" name="День 1-style 2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4" displayName="Конструктор_программы" name="Конструктор_программы" id="4">
  <autoFilter ref="$A$1:$H$104"/>
  <tableColumns count="8">
    <tableColumn name="ID" id="1"/>
    <tableColumn name="Название" id="2"/>
    <tableColumn name="Задача" id="3"/>
    <tableColumn name="Тематическая линия" id="4"/>
    <tableColumn name="Место" id="5"/>
    <tableColumn name="Целевая группа" id="6"/>
    <tableColumn name="Выбор" id="7"/>
    <tableColumn name="День" id="8"/>
  </tableColumns>
  <tableStyleInfo name="Полный список-style" showColumnStripes="0" showFirstColumn="1" showLastColumn="1" showRowStripes="1"/>
</table>
</file>

<file path=xl/tables/table2.xml><?xml version="1.0" encoding="utf-8"?>
<table xmlns="http://schemas.openxmlformats.org/spreadsheetml/2006/main" ref="A1:F8" displayName="День_1" name="День_1" id="1">
  <tableColumns count="6">
    <tableColumn name="Столбец 1" id="1"/>
    <tableColumn name="Время" id="2"/>
    <tableColumn name="Помещение 1" id="3"/>
    <tableColumn name="Помещение 2" id="4"/>
    <tableColumn name="Город" id="5"/>
    <tableColumn name="Учреждение" id="6"/>
  </tableColumns>
  <tableStyleInfo name="День 1-style" showColumnStripes="0" showFirstColumn="1" showLastColumn="1" showRowStripes="1"/>
</table>
</file>

<file path=xl/tables/table3.xml><?xml version="1.0" encoding="utf-8"?>
<table xmlns="http://schemas.openxmlformats.org/spreadsheetml/2006/main" headerRowCount="0" ref="A12:F18" displayName="Table_1" name="Table_1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День 1-style 2" showColumnStripes="0" showFirstColumn="1" showLastColumn="1" showRowStripes="1"/>
</table>
</file>

<file path=xl/tables/table4.xml><?xml version="1.0" encoding="utf-8"?>
<table xmlns="http://schemas.openxmlformats.org/spreadsheetml/2006/main" ref="A1:E7" displayName="День_2" name="День_2" id="3">
  <tableColumns count="5">
    <tableColumn name="Столбец 1" id="1"/>
    <tableColumn name="Время" id="2"/>
    <tableColumn name="Помещение 1" id="3"/>
    <tableColumn name="Помещение 2" id="4"/>
    <tableColumn name="Город" id="5"/>
  </tableColumns>
  <tableStyleInfo name="День 2-style" showColumnStripes="0" showFirstColumn="1" showLastColumn="1" showRowStripes="1"/>
</table>
</file>

<file path=xl/tables/table5.xml><?xml version="1.0" encoding="utf-8"?>
<table xmlns="http://schemas.openxmlformats.org/spreadsheetml/2006/main" ref="A1:F8" displayName="Таблица3" name="Таблица3" id="2">
  <tableColumns count="6">
    <tableColumn name="Столбец 1" id="1"/>
    <tableColumn name="Время" id="2"/>
    <tableColumn name="Помещение 1" id="3"/>
    <tableColumn name="Помещение 2" id="4"/>
    <tableColumn name="Город" id="5"/>
    <tableColumn name="Учреждение" id="6"/>
  </tableColumns>
  <tableStyleInfo name="День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Qo4U7Q6gjQ7vK9RTs6gTLXzW4T3ZsHhBYMCq8V3dW8Y/edit?usp=sharing" TargetMode="External"/><Relationship Id="rId42" Type="http://schemas.openxmlformats.org/officeDocument/2006/relationships/hyperlink" Target="https://docs.google.com/document/d/1Z4y3GFnXMBrrB2bUZCew3R5Z5EXM6pJLM5IDOH5589Y/edit?usp=sharing" TargetMode="External"/><Relationship Id="rId41" Type="http://schemas.openxmlformats.org/officeDocument/2006/relationships/hyperlink" Target="https://docs.google.com/document/d/16t2uZoHQWfYgVeiU_8XkCZUzh3aj68Elp4itpVnwTqs/edit?usp=sharing" TargetMode="External"/><Relationship Id="rId44" Type="http://schemas.openxmlformats.org/officeDocument/2006/relationships/hyperlink" Target="https://docs.google.com/document/d/1cMo3pFAulmXbLFQt_bT54hExxLbirHjBihSWNDTHRjY/edit?usp=sharing" TargetMode="External"/><Relationship Id="rId43" Type="http://schemas.openxmlformats.org/officeDocument/2006/relationships/hyperlink" Target="https://docs.google.com/document/d/18ByBWFWqBqXaleDclymW61pCjj3zP9HngZ5NSMtxqJ8/edit?usp=sharing" TargetMode="External"/><Relationship Id="rId46" Type="http://schemas.openxmlformats.org/officeDocument/2006/relationships/hyperlink" Target="https://docs.google.com/document/d/1zOjuAy90uCB51TayXuEblOiQeTOPwjq-KMClWpkFRzA/edit?usp=sharing" TargetMode="External"/><Relationship Id="rId45" Type="http://schemas.openxmlformats.org/officeDocument/2006/relationships/hyperlink" Target="https://docs.google.com/document/d/1AW2zu3BYi3gyJcQ2mV1QyHwIobr8WsRlf39Vp8c4Jmg/edit?usp=sharing" TargetMode="External"/><Relationship Id="rId1" Type="http://schemas.openxmlformats.org/officeDocument/2006/relationships/hyperlink" Target="https://docs.google.com/document/d/1OvSB--_tpKkWgM1IAVrIcgDZpIN5BXZDQ63u5H77koY/edit?usp=sharing" TargetMode="External"/><Relationship Id="rId2" Type="http://schemas.openxmlformats.org/officeDocument/2006/relationships/hyperlink" Target="https://docs.google.com/document/d/1I8jto6QZbOldL1_tPPqgXrnsHfhbFJFIAZeBNQ2xuUs/edit?usp=sharing" TargetMode="External"/><Relationship Id="rId3" Type="http://schemas.openxmlformats.org/officeDocument/2006/relationships/hyperlink" Target="https://docs.google.com/document/d/1nmjsYt1UN61YkjFfQNNRBBxwID15le12PbFq7Gr783g/edit?usp=sharing" TargetMode="External"/><Relationship Id="rId4" Type="http://schemas.openxmlformats.org/officeDocument/2006/relationships/hyperlink" Target="https://docs.google.com/document/d/1TNFGj2krgqI0pBrqzIYetcjgDPxibzna5q1oS7js2K0/edit?usp=sharing" TargetMode="External"/><Relationship Id="rId9" Type="http://schemas.openxmlformats.org/officeDocument/2006/relationships/hyperlink" Target="https://docs.google.com/document/d/1ILNoyrZaobzCNt1Fo0axZT3rDprUUE8GM0mAEchIAMs/edit?usp=sharing" TargetMode="External"/><Relationship Id="rId48" Type="http://schemas.openxmlformats.org/officeDocument/2006/relationships/hyperlink" Target="https://docs.google.com/document/d/1b1Nfs0bS25M2jYVOklEconPHtLywm3QxSgvMBol8MBE/edit?usp=sharing" TargetMode="External"/><Relationship Id="rId47" Type="http://schemas.openxmlformats.org/officeDocument/2006/relationships/hyperlink" Target="https://docs.google.com/document/d/1wE2Wb7YDjxttwtw_bVx02L8R1ZvH6nsLa3q1dTzBu-U/edit?usp=sharing" TargetMode="External"/><Relationship Id="rId49" Type="http://schemas.openxmlformats.org/officeDocument/2006/relationships/hyperlink" Target="https://docs.google.com/document/d/1BIMqPdGdgrzCLFgv3HUHtdQuB-0wu7KqEunDHexb9-o/edit?usp=sharing" TargetMode="External"/><Relationship Id="rId5" Type="http://schemas.openxmlformats.org/officeDocument/2006/relationships/hyperlink" Target="https://docs.google.com/document/d/10mCjvC8eWDqgnN7i9W0sK-h9_rxfmkNrQgKrSRdeDt8/edit?usp=sharing" TargetMode="External"/><Relationship Id="rId6" Type="http://schemas.openxmlformats.org/officeDocument/2006/relationships/hyperlink" Target="https://docs.google.com/document/d/1HqS4Ddxt1h68-6T-4VTpEghI2gQks-NQnDk2RvkPnfU/edit?usp=sharing" TargetMode="External"/><Relationship Id="rId7" Type="http://schemas.openxmlformats.org/officeDocument/2006/relationships/hyperlink" Target="https://docs.google.com/document/d/1ajC2eCu4m_PjEPzTcBq_hilVqZOFmiHQXt58T080C68/edit?usp=sharing" TargetMode="External"/><Relationship Id="rId8" Type="http://schemas.openxmlformats.org/officeDocument/2006/relationships/hyperlink" Target="https://docs.google.com/document/d/1l_0zBbFoHspS4Kawf1iilIrz_AALKeavAUrFkljxIKM/edit?usp=sharing" TargetMode="External"/><Relationship Id="rId31" Type="http://schemas.openxmlformats.org/officeDocument/2006/relationships/hyperlink" Target="https://docs.google.com/document/d/18Rp25aAA5Udj43eHP1auEQGkFO3l3ukd4n3bXyjqZ38/edit?usp=sharing" TargetMode="External"/><Relationship Id="rId30" Type="http://schemas.openxmlformats.org/officeDocument/2006/relationships/hyperlink" Target="https://docs.google.com/document/d/18jBpIP9Wx778Nb7NSKi6cQ8tGsL66pcm9XsExi1VPFc/edit?usp=sharing" TargetMode="External"/><Relationship Id="rId33" Type="http://schemas.openxmlformats.org/officeDocument/2006/relationships/hyperlink" Target="https://docs.google.com/document/d/1s1iunsPfLUxqtwsJMA391C_0ia00oVUTIDDNEMzC-cU/edit?usp=sharing" TargetMode="External"/><Relationship Id="rId32" Type="http://schemas.openxmlformats.org/officeDocument/2006/relationships/hyperlink" Target="https://docs.google.com/document/d/1nxHs9ud3Dy5WnHAuj3rNigrU8bAoJTD43CagpV1MlJ8/edit?usp=sharing" TargetMode="External"/><Relationship Id="rId35" Type="http://schemas.openxmlformats.org/officeDocument/2006/relationships/hyperlink" Target="https://docs.google.com/document/d/1RwsXmi8A2CZ2DmnwwjW27wv2p6BcWK3mFnzNNxbKIbw/edit?usp=sharing" TargetMode="External"/><Relationship Id="rId34" Type="http://schemas.openxmlformats.org/officeDocument/2006/relationships/hyperlink" Target="https://docs.google.com/document/d/1QSJCeithdA8wtyqOQtYIWUVAayIwbKsG1dl8z_CDtl8/edit?usp=sharing" TargetMode="External"/><Relationship Id="rId37" Type="http://schemas.openxmlformats.org/officeDocument/2006/relationships/hyperlink" Target="https://docs.google.com/document/d/11SDg5PzkvZeIJG1WznrCfv-QLds1EaCo62HexJ9zf8g/edit?usp=sharing" TargetMode="External"/><Relationship Id="rId36" Type="http://schemas.openxmlformats.org/officeDocument/2006/relationships/hyperlink" Target="https://docs.google.com/document/d/1Mg2tDYQnnvQ0dALYbLB6A0WJ8TZj1CuMKyHtWC387gs/edit?usp=sharing" TargetMode="External"/><Relationship Id="rId39" Type="http://schemas.openxmlformats.org/officeDocument/2006/relationships/hyperlink" Target="https://docs.google.com/document/d/1n2Nft6V-hkzCmtXWP-nNG89aO6ZF0VrusAg5PT9ZADQ/edit?usp=sharing" TargetMode="External"/><Relationship Id="rId38" Type="http://schemas.openxmlformats.org/officeDocument/2006/relationships/hyperlink" Target="https://docs.google.com/document/d/1NXE64VxkG3n4m7QU26WIjh3OQjKu3tmAgaM3CI5fpf8/edit?usp=sharing" TargetMode="External"/><Relationship Id="rId20" Type="http://schemas.openxmlformats.org/officeDocument/2006/relationships/hyperlink" Target="https://docs.google.com/document/d/1609HR8aW48dwx_w_y34ddJP4iuGW4TScozBpw1RfwQg/edit?usp=sharing" TargetMode="External"/><Relationship Id="rId22" Type="http://schemas.openxmlformats.org/officeDocument/2006/relationships/hyperlink" Target="https://docs.google.com/document/d/1ZTHxmCQgRYR04R_c_EbTc0aPnZ1CLwkB1pM4FB2-lL0/edit?usp=sharing" TargetMode="External"/><Relationship Id="rId21" Type="http://schemas.openxmlformats.org/officeDocument/2006/relationships/hyperlink" Target="https://docs.google.com/document/d/1oAfNpafVwCSVBug8p2tk7oxVxB-_WKM97eZdu6RuLXE/edit?usp=sharing" TargetMode="External"/><Relationship Id="rId24" Type="http://schemas.openxmlformats.org/officeDocument/2006/relationships/hyperlink" Target="https://docs.google.com/document/d/1eifK7XUkfDPctNqRQrGgKbN-nOjnXrp-dGUNVw1_37E/edit?usp=sharing" TargetMode="External"/><Relationship Id="rId23" Type="http://schemas.openxmlformats.org/officeDocument/2006/relationships/hyperlink" Target="https://docs.google.com/document/d/1kTushsewmJ_Ic27jF1GcHHqtT2yIEci-Gb1f3vQSGuQ/edit?usp=sharing" TargetMode="External"/><Relationship Id="rId26" Type="http://schemas.openxmlformats.org/officeDocument/2006/relationships/hyperlink" Target="https://docs.google.com/document/d/1ZuGzHfoewtoC5sr8-MZz0O2tOhXrRFXQcZPrJQQwTY8/edit?usp=sharing" TargetMode="External"/><Relationship Id="rId25" Type="http://schemas.openxmlformats.org/officeDocument/2006/relationships/hyperlink" Target="https://docs.google.com/document/d/1-8UQ5SMuwgPYZ9CkNuUk_1mML6dEjoCCVSIYLwfE-xY/edit?usp=sharing" TargetMode="External"/><Relationship Id="rId28" Type="http://schemas.openxmlformats.org/officeDocument/2006/relationships/hyperlink" Target="https://docs.google.com/document/d/182qfdp3vdjTrtjC793KHp1LxDFfzUeBecOR1_a_2j7k/edit?tab=t.0" TargetMode="External"/><Relationship Id="rId27" Type="http://schemas.openxmlformats.org/officeDocument/2006/relationships/hyperlink" Target="https://docs.google.com/document/d/1oKqrvv_7B48CYuyglvyuHpJYpFi7t6CZSa0L6-BfG2M/edit?usp=sharing" TargetMode="External"/><Relationship Id="rId29" Type="http://schemas.openxmlformats.org/officeDocument/2006/relationships/hyperlink" Target="https://docs.google.com/document/d/1Kyz7yTUJgGpbZdrftVvMQKMu_AqRm5P9i-jYwZG2qGA/edit?usp=sharing" TargetMode="External"/><Relationship Id="rId51" Type="http://schemas.openxmlformats.org/officeDocument/2006/relationships/hyperlink" Target="https://docs.google.com/document/d/1DB-rZ5Raq83iWLk7S25GwVWDsGu7MGfQbJTlvx103CQ/edit?usp=sharing" TargetMode="External"/><Relationship Id="rId50" Type="http://schemas.openxmlformats.org/officeDocument/2006/relationships/hyperlink" Target="https://docs.google.com/document/d/1-RvmKzf8ubQ2DV1dkBX30OhjM53-tzaE7MZZcX45YCI/edit?usp=sharing" TargetMode="External"/><Relationship Id="rId53" Type="http://schemas.openxmlformats.org/officeDocument/2006/relationships/hyperlink" Target="https://docs.google.com/document/d/1gA88hvMGxlKgO4ZA5hIKmgODtswST1A_BKGz8B07CWA/edit?usp=sharing" TargetMode="External"/><Relationship Id="rId52" Type="http://schemas.openxmlformats.org/officeDocument/2006/relationships/hyperlink" Target="https://docs.google.com/document/d/1HWd5NzV0NkXy2cQlNHJ0A3D1h0RuDWxJH3r4148YwxY/edit?usp=sharing" TargetMode="External"/><Relationship Id="rId11" Type="http://schemas.openxmlformats.org/officeDocument/2006/relationships/hyperlink" Target="https://docs.google.com/document/d/1NvKJF4QrOEAQHt3KtVXZgx52IGLSzqycgBKOS0DtCy0/edit?usp=sharing" TargetMode="External"/><Relationship Id="rId55" Type="http://schemas.openxmlformats.org/officeDocument/2006/relationships/hyperlink" Target="https://docs.google.com/document/d/1v3NEKH6bRCygQEAqVXFNIiQvgm2RUpvT9RcTZnSntKI/edit?usp=sharing" TargetMode="External"/><Relationship Id="rId10" Type="http://schemas.openxmlformats.org/officeDocument/2006/relationships/hyperlink" Target="https://docs.google.com/document/d/1MDt6q0SLKUt9OPlNPzbswQy-DWPMkkTc1XxBK7BmGRE/edit?usp=sharing" TargetMode="External"/><Relationship Id="rId54" Type="http://schemas.openxmlformats.org/officeDocument/2006/relationships/hyperlink" Target="https://docs.google.com/document/d/18Rp25aAA5Udj43eHP1auEQGkFO3l3ukd4n3bXyjqZ38/edit?usp=sharing" TargetMode="External"/><Relationship Id="rId13" Type="http://schemas.openxmlformats.org/officeDocument/2006/relationships/hyperlink" Target="https://docs.google.com/document/d/1SghV8Ibq-K8Ljbgq-exQhx-e__rM7R5ksrouuy7RY-w/edit?usp=sharing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docs.google.com/document/d/1RgTfciRUGT4NJNwlc7tOZ3ZYKyie2zGrUXALTfIIFVI/edit?usp=sharing" TargetMode="External"/><Relationship Id="rId56" Type="http://schemas.openxmlformats.org/officeDocument/2006/relationships/hyperlink" Target="https://docs.google.com/document/d/1OjtBNQMvpby5JKtrg2BJEpWDSD2h3CQb6zl6WMLMPgU/edit?usp=sharing" TargetMode="External"/><Relationship Id="rId15" Type="http://schemas.openxmlformats.org/officeDocument/2006/relationships/hyperlink" Target="https://docs.google.com/document/d/18aNTUaZFMhpOUl-E56Uf30G6s5I6wb3aAn29Tm003PA/edit?usp=sharing" TargetMode="External"/><Relationship Id="rId59" Type="http://schemas.openxmlformats.org/officeDocument/2006/relationships/table" Target="../tables/table1.xml"/><Relationship Id="rId14" Type="http://schemas.openxmlformats.org/officeDocument/2006/relationships/hyperlink" Target="https://docs.google.com/document/d/1gMhXsKIoZG09m8oflwrAEyNd3ceI1WIVDe30mMO6-f8/edit?usp=sharing" TargetMode="External"/><Relationship Id="rId17" Type="http://schemas.openxmlformats.org/officeDocument/2006/relationships/hyperlink" Target="https://docs.google.com/document/d/16tzQcctxLtXT78hDbePVt8T0teakDCoQBWCKga_dTbw/edit?usp=sharing" TargetMode="External"/><Relationship Id="rId16" Type="http://schemas.openxmlformats.org/officeDocument/2006/relationships/hyperlink" Target="https://docs.google.com/document/d/1HWd5NzV0NkXy2cQlNHJ0A3D1h0RuDWxJH3r4148YwxY/edit?usp=sharing" TargetMode="External"/><Relationship Id="rId19" Type="http://schemas.openxmlformats.org/officeDocument/2006/relationships/hyperlink" Target="https://docs.google.com/document/d/1C1DC2UJX8IzkjEG4UwTsBlJLk4y0sPl6yzIRiiKYomg/edit?usp=sharing" TargetMode="External"/><Relationship Id="rId18" Type="http://schemas.openxmlformats.org/officeDocument/2006/relationships/hyperlink" Target="https://docs.google.com/document/d/1DbIJi1NWuA5yDJC_sv_hw4H-tu7m64OYeS6FfutqFho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vSB--_tpKkWgM1IAVrIcgDZpIN5BXZDQ63u5H77koY/edit?usp=sharing" TargetMode="External"/><Relationship Id="rId2" Type="http://schemas.openxmlformats.org/officeDocument/2006/relationships/hyperlink" Target="https://docs.google.com/document/d/1kTushsewmJ_Ic27jF1GcHHqtT2yIEci-Gb1f3vQSGuQ/edit?usp=sharing" TargetMode="External"/><Relationship Id="rId3" Type="http://schemas.openxmlformats.org/officeDocument/2006/relationships/hyperlink" Target="https://docs.google.com/document/d/1n2Nft6V-hkzCmtXWP-nNG89aO6ZF0VrusAg5PT9ZADQ/edit?usp=sharing" TargetMode="External"/><Relationship Id="rId4" Type="http://schemas.openxmlformats.org/officeDocument/2006/relationships/hyperlink" Target="https://docs.google.com/document/d/1-8UQ5SMuwgPYZ9CkNuUk_1mML6dEjoCCVSIYLwfE-xY/edit?usp=sharing" TargetMode="External"/><Relationship Id="rId9" Type="http://schemas.openxmlformats.org/officeDocument/2006/relationships/table" Target="../tables/table3.xml"/><Relationship Id="rId5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45.75"/>
    <col customWidth="1" min="3" max="3" width="28.5"/>
    <col customWidth="1" min="4" max="4" width="35.38"/>
    <col customWidth="1" min="5" max="5" width="19.63"/>
    <col customWidth="1" min="6" max="6" width="14.88"/>
    <col customWidth="1" min="7" max="7" width="14.0"/>
    <col customWidth="1" min="8" max="8" width="12.75"/>
  </cols>
  <sheetData>
    <row r="1" ht="22.5" customHeight="1">
      <c r="A1" s="2" t="s">
        <v>1</v>
      </c>
      <c r="B1" s="2" t="s">
        <v>3</v>
      </c>
      <c r="C1" s="2" t="s">
        <v>5</v>
      </c>
      <c r="D1" s="2" t="s">
        <v>7</v>
      </c>
      <c r="E1" s="2" t="s">
        <v>9</v>
      </c>
      <c r="F1" s="2" t="s">
        <v>11</v>
      </c>
      <c r="G1" s="1" t="s">
        <v>12</v>
      </c>
      <c r="H1" s="1" t="s">
        <v>14</v>
      </c>
    </row>
    <row r="2" ht="22.5" customHeight="1">
      <c r="A2" s="5">
        <v>1.0</v>
      </c>
      <c r="B2" s="6" t="s">
        <v>16</v>
      </c>
      <c r="C2" s="7" t="s">
        <v>17</v>
      </c>
      <c r="D2" s="8" t="s">
        <v>18</v>
      </c>
      <c r="E2" s="8" t="s">
        <v>8</v>
      </c>
      <c r="F2" s="6" t="s">
        <v>19</v>
      </c>
      <c r="G2" s="9" t="b">
        <v>0</v>
      </c>
      <c r="H2" s="8" t="s">
        <v>20</v>
      </c>
    </row>
    <row r="3" ht="22.5" customHeight="1">
      <c r="A3" s="5">
        <v>3.0</v>
      </c>
      <c r="B3" s="6" t="s">
        <v>21</v>
      </c>
      <c r="C3" s="7" t="s">
        <v>22</v>
      </c>
      <c r="D3" s="8" t="s">
        <v>18</v>
      </c>
      <c r="E3" s="8" t="s">
        <v>4</v>
      </c>
      <c r="F3" s="6" t="s">
        <v>23</v>
      </c>
      <c r="G3" s="9" t="b">
        <v>1</v>
      </c>
      <c r="H3" s="8" t="s">
        <v>20</v>
      </c>
    </row>
    <row r="4" ht="22.5" customHeight="1">
      <c r="A4" s="5">
        <v>4.0</v>
      </c>
      <c r="B4" s="6" t="s">
        <v>25</v>
      </c>
      <c r="C4" s="7" t="s">
        <v>26</v>
      </c>
      <c r="D4" s="8" t="s">
        <v>18</v>
      </c>
      <c r="E4" s="8" t="s">
        <v>6</v>
      </c>
      <c r="F4" s="6" t="s">
        <v>28</v>
      </c>
      <c r="G4" s="9" t="b">
        <v>0</v>
      </c>
      <c r="H4" s="8" t="s">
        <v>29</v>
      </c>
    </row>
    <row r="5" ht="22.5" customHeight="1">
      <c r="A5" s="13">
        <v>5.0</v>
      </c>
      <c r="B5" s="14" t="s">
        <v>33</v>
      </c>
      <c r="C5" s="7" t="s">
        <v>34</v>
      </c>
      <c r="D5" s="8" t="s">
        <v>18</v>
      </c>
      <c r="E5" s="8" t="s">
        <v>4</v>
      </c>
      <c r="F5" s="6" t="s">
        <v>23</v>
      </c>
      <c r="G5" s="9" t="b">
        <v>1</v>
      </c>
      <c r="H5" s="8" t="s">
        <v>20</v>
      </c>
    </row>
    <row r="6" ht="22.5" customHeight="1">
      <c r="A6" s="15">
        <v>6.0</v>
      </c>
      <c r="B6" s="16" t="s">
        <v>35</v>
      </c>
      <c r="C6" s="7" t="s">
        <v>26</v>
      </c>
      <c r="D6" s="8" t="s">
        <v>18</v>
      </c>
      <c r="E6" s="8" t="s">
        <v>6</v>
      </c>
      <c r="F6" s="6" t="s">
        <v>19</v>
      </c>
      <c r="G6" s="9" t="b">
        <v>0</v>
      </c>
      <c r="H6" s="8" t="s">
        <v>29</v>
      </c>
    </row>
    <row r="7" ht="22.5" customHeight="1">
      <c r="A7" s="5">
        <v>7.0</v>
      </c>
      <c r="B7" s="16" t="s">
        <v>36</v>
      </c>
      <c r="C7" s="7" t="s">
        <v>26</v>
      </c>
      <c r="D7" s="8" t="s">
        <v>18</v>
      </c>
      <c r="E7" s="8" t="s">
        <v>4</v>
      </c>
      <c r="F7" s="6" t="s">
        <v>19</v>
      </c>
      <c r="G7" s="9" t="b">
        <v>0</v>
      </c>
      <c r="H7" s="8" t="s">
        <v>29</v>
      </c>
    </row>
    <row r="8" ht="22.5" customHeight="1">
      <c r="A8" s="5">
        <v>9.0</v>
      </c>
      <c r="B8" s="6" t="s">
        <v>37</v>
      </c>
      <c r="C8" s="7" t="s">
        <v>26</v>
      </c>
      <c r="D8" s="8" t="s">
        <v>18</v>
      </c>
      <c r="E8" s="8" t="s">
        <v>4</v>
      </c>
      <c r="F8" s="6" t="s">
        <v>23</v>
      </c>
      <c r="G8" s="9" t="b">
        <v>1</v>
      </c>
      <c r="H8" s="8" t="s">
        <v>38</v>
      </c>
    </row>
    <row r="9" ht="22.5" customHeight="1">
      <c r="A9" s="5">
        <v>10.0</v>
      </c>
      <c r="B9" s="6" t="s">
        <v>39</v>
      </c>
      <c r="C9" s="7" t="s">
        <v>26</v>
      </c>
      <c r="D9" s="8" t="s">
        <v>18</v>
      </c>
      <c r="E9" s="8" t="s">
        <v>6</v>
      </c>
      <c r="F9" s="6" t="s">
        <v>19</v>
      </c>
      <c r="G9" s="9" t="b">
        <v>0</v>
      </c>
      <c r="H9" s="8" t="s">
        <v>38</v>
      </c>
    </row>
    <row r="10" ht="22.5" customHeight="1">
      <c r="A10" s="15">
        <v>11.0</v>
      </c>
      <c r="B10" s="14" t="s">
        <v>40</v>
      </c>
      <c r="C10" s="7" t="s">
        <v>26</v>
      </c>
      <c r="D10" s="8" t="s">
        <v>18</v>
      </c>
      <c r="E10" s="8" t="s">
        <v>4</v>
      </c>
      <c r="F10" s="6" t="s">
        <v>41</v>
      </c>
      <c r="G10" s="9" t="b">
        <v>0</v>
      </c>
      <c r="H10" s="8" t="s">
        <v>20</v>
      </c>
    </row>
    <row r="11" ht="22.5" customHeight="1">
      <c r="A11" s="5">
        <v>12.0</v>
      </c>
      <c r="B11" s="16" t="s">
        <v>42</v>
      </c>
      <c r="C11" s="7" t="s">
        <v>26</v>
      </c>
      <c r="D11" s="8" t="s">
        <v>18</v>
      </c>
      <c r="E11" s="8" t="s">
        <v>6</v>
      </c>
      <c r="F11" s="6" t="s">
        <v>23</v>
      </c>
      <c r="G11" s="9" t="b">
        <v>1</v>
      </c>
      <c r="H11" s="8" t="s">
        <v>20</v>
      </c>
    </row>
    <row r="12" ht="22.5" customHeight="1">
      <c r="A12" s="5">
        <v>13.0</v>
      </c>
      <c r="B12" s="6" t="s">
        <v>43</v>
      </c>
      <c r="C12" s="7" t="s">
        <v>26</v>
      </c>
      <c r="D12" s="8" t="s">
        <v>18</v>
      </c>
      <c r="E12" s="8" t="s">
        <v>4</v>
      </c>
      <c r="F12" s="6" t="s">
        <v>23</v>
      </c>
      <c r="G12" s="9" t="b">
        <v>1</v>
      </c>
      <c r="H12" s="8" t="s">
        <v>29</v>
      </c>
    </row>
    <row r="13" ht="22.5" customHeight="1">
      <c r="A13" s="13">
        <v>14.0</v>
      </c>
      <c r="B13" s="6" t="s">
        <v>44</v>
      </c>
      <c r="C13" s="7" t="s">
        <v>26</v>
      </c>
      <c r="D13" s="8" t="s">
        <v>18</v>
      </c>
      <c r="E13" s="8" t="s">
        <v>6</v>
      </c>
      <c r="F13" s="6" t="s">
        <v>19</v>
      </c>
      <c r="G13" s="9" t="b">
        <v>0</v>
      </c>
      <c r="H13" s="8" t="s">
        <v>29</v>
      </c>
    </row>
    <row r="14" ht="22.5" customHeight="1">
      <c r="A14" s="15">
        <v>15.0</v>
      </c>
      <c r="B14" s="6" t="s">
        <v>45</v>
      </c>
      <c r="C14" s="7" t="s">
        <v>26</v>
      </c>
      <c r="D14" s="8" t="s">
        <v>18</v>
      </c>
      <c r="E14" s="8" t="s">
        <v>4</v>
      </c>
      <c r="F14" s="6" t="s">
        <v>19</v>
      </c>
      <c r="G14" s="9" t="b">
        <v>0</v>
      </c>
      <c r="H14" s="8" t="s">
        <v>38</v>
      </c>
    </row>
    <row r="15" ht="22.5" customHeight="1">
      <c r="A15" s="5">
        <v>16.0</v>
      </c>
      <c r="B15" s="16" t="s">
        <v>46</v>
      </c>
      <c r="C15" s="7" t="s">
        <v>26</v>
      </c>
      <c r="D15" s="8" t="s">
        <v>18</v>
      </c>
      <c r="E15" s="8" t="s">
        <v>6</v>
      </c>
      <c r="F15" s="6" t="s">
        <v>19</v>
      </c>
      <c r="G15" s="17"/>
      <c r="H15" s="8" t="s">
        <v>38</v>
      </c>
    </row>
    <row r="16" ht="22.5" customHeight="1">
      <c r="A16" s="15">
        <v>17.0</v>
      </c>
      <c r="B16" s="16" t="s">
        <v>47</v>
      </c>
      <c r="C16" s="7" t="s">
        <v>26</v>
      </c>
      <c r="D16" s="8" t="s">
        <v>18</v>
      </c>
      <c r="E16" s="8" t="s">
        <v>6</v>
      </c>
      <c r="F16" s="6" t="s">
        <v>23</v>
      </c>
      <c r="G16" s="9" t="b">
        <v>1</v>
      </c>
      <c r="H16" s="8" t="s">
        <v>38</v>
      </c>
    </row>
    <row r="17" ht="22.5" customHeight="1">
      <c r="A17" s="5">
        <v>18.0</v>
      </c>
      <c r="B17" s="16" t="s">
        <v>48</v>
      </c>
      <c r="C17" s="7" t="s">
        <v>49</v>
      </c>
      <c r="D17" s="8" t="s">
        <v>50</v>
      </c>
      <c r="E17" s="8" t="s">
        <v>6</v>
      </c>
      <c r="F17" s="6" t="s">
        <v>19</v>
      </c>
      <c r="G17" s="9" t="b">
        <v>0</v>
      </c>
      <c r="H17" s="8" t="s">
        <v>20</v>
      </c>
    </row>
    <row r="18" ht="22.5" customHeight="1">
      <c r="A18" s="5">
        <v>19.0</v>
      </c>
      <c r="B18" s="16" t="s">
        <v>51</v>
      </c>
      <c r="C18" s="7" t="s">
        <v>49</v>
      </c>
      <c r="D18" s="8" t="s">
        <v>50</v>
      </c>
      <c r="E18" s="8" t="s">
        <v>4</v>
      </c>
      <c r="F18" s="6" t="s">
        <v>19</v>
      </c>
      <c r="G18" s="9" t="b">
        <v>0</v>
      </c>
      <c r="H18" s="8" t="s">
        <v>29</v>
      </c>
    </row>
    <row r="19" ht="22.5" customHeight="1">
      <c r="A19" s="15">
        <v>20.0</v>
      </c>
      <c r="B19" s="16" t="s">
        <v>52</v>
      </c>
      <c r="C19" s="7" t="s">
        <v>49</v>
      </c>
      <c r="D19" s="8" t="s">
        <v>50</v>
      </c>
      <c r="E19" s="8" t="s">
        <v>6</v>
      </c>
      <c r="F19" s="6" t="s">
        <v>19</v>
      </c>
      <c r="G19" s="9" t="b">
        <v>0</v>
      </c>
      <c r="H19" s="8" t="s">
        <v>38</v>
      </c>
    </row>
    <row r="20" ht="22.5" customHeight="1">
      <c r="A20" s="5">
        <v>21.0</v>
      </c>
      <c r="B20" s="16" t="s">
        <v>53</v>
      </c>
      <c r="C20" s="7" t="s">
        <v>49</v>
      </c>
      <c r="D20" s="8" t="s">
        <v>50</v>
      </c>
      <c r="E20" s="8" t="s">
        <v>6</v>
      </c>
      <c r="F20" s="6" t="s">
        <v>19</v>
      </c>
      <c r="G20" s="9" t="b">
        <v>0</v>
      </c>
      <c r="H20" s="8" t="s">
        <v>20</v>
      </c>
    </row>
    <row r="21" ht="22.5" customHeight="1">
      <c r="A21" s="5">
        <v>22.0</v>
      </c>
      <c r="B21" s="16" t="s">
        <v>54</v>
      </c>
      <c r="C21" s="7" t="s">
        <v>49</v>
      </c>
      <c r="D21" s="8" t="s">
        <v>50</v>
      </c>
      <c r="E21" s="8" t="s">
        <v>6</v>
      </c>
      <c r="F21" s="6" t="s">
        <v>23</v>
      </c>
      <c r="G21" s="9" t="b">
        <v>1</v>
      </c>
      <c r="H21" s="8" t="s">
        <v>29</v>
      </c>
    </row>
    <row r="22" ht="22.5" customHeight="1">
      <c r="A22" s="13">
        <v>23.0</v>
      </c>
      <c r="B22" s="16" t="s">
        <v>55</v>
      </c>
      <c r="C22" s="7" t="s">
        <v>49</v>
      </c>
      <c r="D22" s="8" t="s">
        <v>50</v>
      </c>
      <c r="E22" s="8" t="s">
        <v>4</v>
      </c>
      <c r="F22" s="6" t="s">
        <v>41</v>
      </c>
      <c r="G22" s="17"/>
      <c r="H22" s="8" t="s">
        <v>38</v>
      </c>
    </row>
    <row r="23" ht="22.5" customHeight="1">
      <c r="A23" s="15">
        <v>24.0</v>
      </c>
      <c r="B23" s="16" t="s">
        <v>56</v>
      </c>
      <c r="C23" s="7" t="s">
        <v>49</v>
      </c>
      <c r="D23" s="8" t="s">
        <v>50</v>
      </c>
      <c r="E23" s="8" t="s">
        <v>6</v>
      </c>
      <c r="F23" s="6" t="s">
        <v>19</v>
      </c>
      <c r="G23" s="17"/>
      <c r="H23" s="8" t="s">
        <v>20</v>
      </c>
    </row>
    <row r="24" ht="22.5" customHeight="1">
      <c r="A24" s="5">
        <v>25.0</v>
      </c>
      <c r="B24" s="16" t="s">
        <v>57</v>
      </c>
      <c r="C24" s="7" t="s">
        <v>49</v>
      </c>
      <c r="D24" s="8" t="s">
        <v>50</v>
      </c>
      <c r="E24" s="8" t="s">
        <v>4</v>
      </c>
      <c r="F24" s="6" t="s">
        <v>19</v>
      </c>
      <c r="G24" s="17"/>
      <c r="H24" s="8" t="s">
        <v>29</v>
      </c>
    </row>
    <row r="25" ht="22.5" customHeight="1">
      <c r="A25" s="15">
        <v>26.0</v>
      </c>
      <c r="B25" s="16" t="s">
        <v>58</v>
      </c>
      <c r="C25" s="7" t="s">
        <v>49</v>
      </c>
      <c r="D25" s="8" t="s">
        <v>50</v>
      </c>
      <c r="E25" s="8" t="s">
        <v>6</v>
      </c>
      <c r="F25" s="6" t="s">
        <v>19</v>
      </c>
      <c r="G25" s="9" t="b">
        <v>0</v>
      </c>
      <c r="H25" s="8" t="s">
        <v>38</v>
      </c>
    </row>
    <row r="26" ht="22.5" customHeight="1">
      <c r="A26" s="5">
        <v>28.0</v>
      </c>
      <c r="B26" s="16" t="s">
        <v>59</v>
      </c>
      <c r="C26" s="7" t="s">
        <v>49</v>
      </c>
      <c r="D26" s="8" t="s">
        <v>50</v>
      </c>
      <c r="E26" s="8" t="s">
        <v>6</v>
      </c>
      <c r="F26" s="6" t="s">
        <v>19</v>
      </c>
      <c r="G26" s="9" t="b">
        <v>0</v>
      </c>
      <c r="H26" s="18"/>
    </row>
    <row r="27" ht="22.5" customHeight="1">
      <c r="A27" s="15">
        <v>29.0</v>
      </c>
      <c r="B27" s="6" t="s">
        <v>60</v>
      </c>
      <c r="C27" s="7" t="s">
        <v>61</v>
      </c>
      <c r="D27" s="8" t="s">
        <v>50</v>
      </c>
      <c r="E27" s="8" t="s">
        <v>8</v>
      </c>
      <c r="F27" s="6" t="s">
        <v>41</v>
      </c>
      <c r="G27" s="9" t="b">
        <v>0</v>
      </c>
      <c r="H27" s="8" t="s">
        <v>29</v>
      </c>
    </row>
    <row r="28" ht="22.5" customHeight="1">
      <c r="A28" s="5">
        <v>30.0</v>
      </c>
      <c r="B28" s="6" t="s">
        <v>62</v>
      </c>
      <c r="C28" s="7" t="s">
        <v>61</v>
      </c>
      <c r="D28" s="8" t="s">
        <v>50</v>
      </c>
      <c r="E28" s="8" t="s">
        <v>6</v>
      </c>
      <c r="F28" s="6" t="s">
        <v>23</v>
      </c>
      <c r="G28" s="9" t="b">
        <v>0</v>
      </c>
      <c r="H28" s="8" t="s">
        <v>38</v>
      </c>
    </row>
    <row r="29" ht="22.5" customHeight="1">
      <c r="A29" s="5">
        <v>31.0</v>
      </c>
      <c r="B29" s="6" t="s">
        <v>63</v>
      </c>
      <c r="C29" s="7" t="s">
        <v>61</v>
      </c>
      <c r="D29" s="8" t="s">
        <v>50</v>
      </c>
      <c r="E29" s="8" t="s">
        <v>4</v>
      </c>
      <c r="F29" s="6" t="s">
        <v>41</v>
      </c>
      <c r="G29" s="17"/>
      <c r="H29" s="8" t="s">
        <v>20</v>
      </c>
    </row>
    <row r="30" ht="22.5" customHeight="1">
      <c r="A30" s="13">
        <v>32.0</v>
      </c>
      <c r="B30" s="6" t="s">
        <v>64</v>
      </c>
      <c r="C30" s="7" t="s">
        <v>61</v>
      </c>
      <c r="D30" s="8" t="s">
        <v>50</v>
      </c>
      <c r="E30" s="8" t="s">
        <v>6</v>
      </c>
      <c r="F30" s="6" t="s">
        <v>41</v>
      </c>
      <c r="G30" s="17"/>
      <c r="H30" s="8" t="s">
        <v>29</v>
      </c>
    </row>
    <row r="31" ht="22.5" customHeight="1">
      <c r="A31" s="15">
        <v>33.0</v>
      </c>
      <c r="B31" s="16" t="s">
        <v>65</v>
      </c>
      <c r="C31" s="7" t="s">
        <v>61</v>
      </c>
      <c r="D31" s="8" t="s">
        <v>50</v>
      </c>
      <c r="E31" s="8" t="s">
        <v>4</v>
      </c>
      <c r="F31" s="6" t="s">
        <v>41</v>
      </c>
      <c r="G31" s="17"/>
      <c r="H31" s="8" t="s">
        <v>38</v>
      </c>
    </row>
    <row r="32" ht="22.5" customHeight="1">
      <c r="A32" s="5">
        <v>34.0</v>
      </c>
      <c r="B32" s="6" t="s">
        <v>66</v>
      </c>
      <c r="C32" s="7" t="s">
        <v>61</v>
      </c>
      <c r="D32" s="8" t="s">
        <v>50</v>
      </c>
      <c r="E32" s="8" t="s">
        <v>8</v>
      </c>
      <c r="F32" s="6" t="s">
        <v>41</v>
      </c>
      <c r="G32" s="17"/>
      <c r="H32" s="8" t="s">
        <v>20</v>
      </c>
    </row>
    <row r="33" ht="22.5" customHeight="1">
      <c r="A33" s="15">
        <v>35.0</v>
      </c>
      <c r="B33" s="16" t="s">
        <v>67</v>
      </c>
      <c r="C33" s="7" t="s">
        <v>61</v>
      </c>
      <c r="D33" s="8" t="s">
        <v>50</v>
      </c>
      <c r="E33" s="8" t="s">
        <v>8</v>
      </c>
      <c r="F33" s="6" t="s">
        <v>23</v>
      </c>
      <c r="G33" s="17"/>
      <c r="H33" s="8" t="s">
        <v>29</v>
      </c>
    </row>
    <row r="34" ht="22.5" customHeight="1">
      <c r="A34" s="5">
        <v>36.0</v>
      </c>
      <c r="B34" s="6" t="s">
        <v>68</v>
      </c>
      <c r="C34" s="7" t="s">
        <v>69</v>
      </c>
      <c r="D34" s="8" t="s">
        <v>50</v>
      </c>
      <c r="E34" s="8" t="s">
        <v>4</v>
      </c>
      <c r="F34" s="6" t="s">
        <v>41</v>
      </c>
      <c r="G34" s="17"/>
      <c r="H34" s="8" t="s">
        <v>38</v>
      </c>
    </row>
    <row r="35" ht="22.5" customHeight="1">
      <c r="A35" s="5">
        <v>37.0</v>
      </c>
      <c r="B35" s="16" t="s">
        <v>70</v>
      </c>
      <c r="C35" s="7" t="s">
        <v>69</v>
      </c>
      <c r="D35" s="8" t="s">
        <v>50</v>
      </c>
      <c r="E35" s="8" t="s">
        <v>4</v>
      </c>
      <c r="F35" s="6" t="s">
        <v>41</v>
      </c>
      <c r="G35" s="9" t="b">
        <v>0</v>
      </c>
      <c r="H35" s="8" t="s">
        <v>20</v>
      </c>
    </row>
    <row r="36" ht="22.5" customHeight="1">
      <c r="A36" s="15">
        <v>2.0</v>
      </c>
      <c r="B36" s="16" t="s">
        <v>71</v>
      </c>
      <c r="C36" s="7" t="s">
        <v>26</v>
      </c>
      <c r="D36" s="8" t="s">
        <v>72</v>
      </c>
      <c r="E36" s="8" t="s">
        <v>6</v>
      </c>
      <c r="F36" s="6" t="s">
        <v>19</v>
      </c>
      <c r="G36" s="9" t="b">
        <v>0</v>
      </c>
      <c r="H36" s="8" t="s">
        <v>20</v>
      </c>
    </row>
    <row r="37" ht="22.5" customHeight="1">
      <c r="A37" s="15">
        <v>8.0</v>
      </c>
      <c r="B37" s="16" t="s">
        <v>73</v>
      </c>
      <c r="C37" s="7" t="s">
        <v>74</v>
      </c>
      <c r="D37" s="8" t="s">
        <v>72</v>
      </c>
      <c r="E37" s="8" t="s">
        <v>6</v>
      </c>
      <c r="F37" s="6" t="s">
        <v>19</v>
      </c>
      <c r="G37" s="9" t="b">
        <v>0</v>
      </c>
      <c r="H37" s="8" t="s">
        <v>38</v>
      </c>
    </row>
    <row r="38" ht="22.5" customHeight="1">
      <c r="A38" s="5">
        <v>27.0</v>
      </c>
      <c r="B38" s="16" t="s">
        <v>75</v>
      </c>
      <c r="C38" s="7" t="s">
        <v>74</v>
      </c>
      <c r="D38" s="8" t="s">
        <v>18</v>
      </c>
      <c r="E38" s="8" t="s">
        <v>4</v>
      </c>
      <c r="F38" s="6" t="s">
        <v>76</v>
      </c>
      <c r="G38" s="9" t="b">
        <v>1</v>
      </c>
      <c r="H38" s="8" t="s">
        <v>20</v>
      </c>
    </row>
    <row r="39" ht="22.5" customHeight="1">
      <c r="A39" s="15">
        <v>38.0</v>
      </c>
      <c r="B39" s="16" t="s">
        <v>77</v>
      </c>
      <c r="C39" s="7" t="s">
        <v>74</v>
      </c>
      <c r="D39" s="8" t="s">
        <v>72</v>
      </c>
      <c r="E39" s="8" t="s">
        <v>4</v>
      </c>
      <c r="F39" s="6" t="s">
        <v>78</v>
      </c>
      <c r="G39" s="17"/>
      <c r="H39" s="8" t="s">
        <v>20</v>
      </c>
    </row>
    <row r="40" ht="22.5" customHeight="1">
      <c r="A40" s="5">
        <v>39.0</v>
      </c>
      <c r="B40" s="6" t="s">
        <v>79</v>
      </c>
      <c r="C40" s="7" t="s">
        <v>74</v>
      </c>
      <c r="D40" s="8" t="s">
        <v>72</v>
      </c>
      <c r="E40" s="8" t="s">
        <v>4</v>
      </c>
      <c r="F40" s="6" t="s">
        <v>19</v>
      </c>
      <c r="G40" s="17"/>
      <c r="H40" s="8" t="s">
        <v>29</v>
      </c>
    </row>
    <row r="41" ht="22.5" customHeight="1">
      <c r="A41" s="5">
        <v>40.0</v>
      </c>
      <c r="B41" s="16" t="s">
        <v>80</v>
      </c>
      <c r="C41" s="7" t="s">
        <v>74</v>
      </c>
      <c r="D41" s="8" t="s">
        <v>18</v>
      </c>
      <c r="E41" s="8" t="s">
        <v>4</v>
      </c>
      <c r="F41" s="6" t="s">
        <v>19</v>
      </c>
      <c r="G41" s="9" t="b">
        <v>1</v>
      </c>
      <c r="H41" s="8" t="s">
        <v>20</v>
      </c>
    </row>
    <row r="42" ht="22.5" customHeight="1">
      <c r="A42" s="13">
        <v>41.0</v>
      </c>
      <c r="B42" s="6" t="s">
        <v>81</v>
      </c>
      <c r="C42" s="7" t="s">
        <v>82</v>
      </c>
      <c r="D42" s="8" t="s">
        <v>72</v>
      </c>
      <c r="E42" s="8" t="s">
        <v>10</v>
      </c>
      <c r="F42" s="6" t="s">
        <v>76</v>
      </c>
      <c r="G42" s="9" t="b">
        <v>0</v>
      </c>
      <c r="H42" s="8" t="s">
        <v>20</v>
      </c>
    </row>
    <row r="43" ht="22.5" customHeight="1">
      <c r="A43" s="15">
        <v>42.0</v>
      </c>
      <c r="B43" s="6" t="s">
        <v>83</v>
      </c>
      <c r="C43" s="7" t="s">
        <v>82</v>
      </c>
      <c r="D43" s="8" t="s">
        <v>72</v>
      </c>
      <c r="E43" s="8" t="s">
        <v>10</v>
      </c>
      <c r="F43" s="6" t="s">
        <v>19</v>
      </c>
      <c r="G43" s="9" t="b">
        <v>0</v>
      </c>
      <c r="H43" s="8" t="s">
        <v>29</v>
      </c>
    </row>
    <row r="44" ht="22.5" customHeight="1">
      <c r="A44" s="5">
        <v>43.0</v>
      </c>
      <c r="B44" s="6" t="s">
        <v>84</v>
      </c>
      <c r="C44" s="7" t="s">
        <v>82</v>
      </c>
      <c r="D44" s="8" t="s">
        <v>72</v>
      </c>
      <c r="E44" s="8" t="s">
        <v>10</v>
      </c>
      <c r="F44" s="6" t="s">
        <v>19</v>
      </c>
      <c r="G44" s="17"/>
      <c r="H44" s="8" t="s">
        <v>38</v>
      </c>
    </row>
    <row r="45" ht="22.5" customHeight="1">
      <c r="A45" s="15">
        <v>44.0</v>
      </c>
      <c r="B45" s="6" t="s">
        <v>85</v>
      </c>
      <c r="C45" s="7" t="s">
        <v>82</v>
      </c>
      <c r="D45" s="8" t="s">
        <v>72</v>
      </c>
      <c r="E45" s="8" t="s">
        <v>4</v>
      </c>
      <c r="F45" s="6" t="s">
        <v>19</v>
      </c>
      <c r="G45" s="17"/>
      <c r="H45" s="8" t="s">
        <v>20</v>
      </c>
    </row>
    <row r="46" ht="22.5" customHeight="1">
      <c r="A46" s="5">
        <v>45.0</v>
      </c>
      <c r="B46" s="6" t="s">
        <v>86</v>
      </c>
      <c r="C46" s="7" t="s">
        <v>87</v>
      </c>
      <c r="D46" s="8" t="s">
        <v>72</v>
      </c>
      <c r="E46" s="8" t="s">
        <v>8</v>
      </c>
      <c r="F46" s="6" t="s">
        <v>19</v>
      </c>
      <c r="G46" s="17"/>
      <c r="H46" s="8" t="s">
        <v>29</v>
      </c>
    </row>
    <row r="47" ht="22.5" customHeight="1">
      <c r="A47" s="5">
        <v>46.0</v>
      </c>
      <c r="B47" s="6" t="s">
        <v>88</v>
      </c>
      <c r="C47" s="7" t="s">
        <v>87</v>
      </c>
      <c r="D47" s="8" t="s">
        <v>18</v>
      </c>
      <c r="E47" s="8" t="s">
        <v>8</v>
      </c>
      <c r="F47" s="6" t="s">
        <v>23</v>
      </c>
      <c r="G47" s="9" t="b">
        <v>1</v>
      </c>
      <c r="H47" s="8" t="s">
        <v>20</v>
      </c>
    </row>
    <row r="48" ht="22.5" customHeight="1">
      <c r="A48" s="15">
        <v>47.0</v>
      </c>
      <c r="B48" s="6" t="s">
        <v>89</v>
      </c>
      <c r="C48" s="7" t="s">
        <v>87</v>
      </c>
      <c r="D48" s="8" t="s">
        <v>72</v>
      </c>
      <c r="E48" s="8" t="s">
        <v>10</v>
      </c>
      <c r="F48" s="6" t="s">
        <v>23</v>
      </c>
      <c r="G48" s="17"/>
      <c r="H48" s="8" t="s">
        <v>20</v>
      </c>
    </row>
    <row r="49" ht="22.5" customHeight="1">
      <c r="A49" s="5">
        <v>48.0</v>
      </c>
      <c r="B49" s="6" t="s">
        <v>90</v>
      </c>
      <c r="C49" s="7" t="s">
        <v>87</v>
      </c>
      <c r="D49" s="8" t="s">
        <v>72</v>
      </c>
      <c r="E49" s="8" t="s">
        <v>4</v>
      </c>
      <c r="F49" s="6" t="s">
        <v>19</v>
      </c>
      <c r="G49" s="9" t="b">
        <v>0</v>
      </c>
      <c r="H49" s="8" t="s">
        <v>29</v>
      </c>
    </row>
    <row r="50" ht="22.5" customHeight="1">
      <c r="A50" s="5">
        <v>49.0</v>
      </c>
      <c r="B50" s="16" t="s">
        <v>91</v>
      </c>
      <c r="C50" s="7" t="s">
        <v>92</v>
      </c>
      <c r="D50" s="8" t="s">
        <v>93</v>
      </c>
      <c r="E50" s="8" t="s">
        <v>6</v>
      </c>
      <c r="F50" s="6" t="s">
        <v>28</v>
      </c>
      <c r="G50" s="17"/>
      <c r="H50" s="8" t="s">
        <v>38</v>
      </c>
    </row>
    <row r="51" ht="22.5" customHeight="1">
      <c r="A51" s="13">
        <v>50.0</v>
      </c>
      <c r="B51" s="6" t="s">
        <v>94</v>
      </c>
      <c r="C51" s="7" t="s">
        <v>87</v>
      </c>
      <c r="D51" s="8" t="s">
        <v>72</v>
      </c>
      <c r="E51" s="8" t="s">
        <v>4</v>
      </c>
      <c r="F51" s="6" t="s">
        <v>19</v>
      </c>
      <c r="G51" s="17"/>
      <c r="H51" s="8" t="s">
        <v>20</v>
      </c>
    </row>
    <row r="52" ht="22.5" customHeight="1">
      <c r="A52" s="15">
        <v>51.0</v>
      </c>
      <c r="B52" s="6" t="s">
        <v>95</v>
      </c>
      <c r="C52" s="7" t="s">
        <v>96</v>
      </c>
      <c r="D52" s="8" t="s">
        <v>72</v>
      </c>
      <c r="E52" s="8" t="s">
        <v>6</v>
      </c>
      <c r="F52" s="6" t="s">
        <v>19</v>
      </c>
      <c r="G52" s="9" t="b">
        <v>0</v>
      </c>
      <c r="H52" s="8" t="s">
        <v>29</v>
      </c>
    </row>
    <row r="53" ht="22.5" customHeight="1">
      <c r="A53" s="5">
        <v>52.0</v>
      </c>
      <c r="B53" s="6" t="s">
        <v>97</v>
      </c>
      <c r="C53" s="7" t="s">
        <v>96</v>
      </c>
      <c r="D53" s="8" t="s">
        <v>72</v>
      </c>
      <c r="E53" s="8" t="s">
        <v>4</v>
      </c>
      <c r="F53" s="6" t="s">
        <v>19</v>
      </c>
      <c r="G53" s="17"/>
      <c r="H53" s="8" t="s">
        <v>38</v>
      </c>
    </row>
    <row r="54" ht="22.5" customHeight="1">
      <c r="A54" s="15">
        <v>53.0</v>
      </c>
      <c r="B54" s="6" t="s">
        <v>98</v>
      </c>
      <c r="C54" s="7" t="s">
        <v>96</v>
      </c>
      <c r="D54" s="8" t="s">
        <v>72</v>
      </c>
      <c r="E54" s="8" t="s">
        <v>6</v>
      </c>
      <c r="F54" s="6" t="s">
        <v>76</v>
      </c>
      <c r="G54" s="17"/>
      <c r="H54" s="8" t="s">
        <v>20</v>
      </c>
    </row>
    <row r="55" ht="22.5" customHeight="1">
      <c r="A55" s="5">
        <v>54.0</v>
      </c>
      <c r="B55" s="6" t="s">
        <v>99</v>
      </c>
      <c r="C55" s="7" t="s">
        <v>96</v>
      </c>
      <c r="D55" s="8" t="s">
        <v>72</v>
      </c>
      <c r="E55" s="8" t="s">
        <v>4</v>
      </c>
      <c r="F55" s="6" t="s">
        <v>76</v>
      </c>
      <c r="G55" s="17"/>
      <c r="H55" s="8" t="s">
        <v>29</v>
      </c>
    </row>
    <row r="56" ht="22.5" customHeight="1">
      <c r="A56" s="5">
        <v>55.0</v>
      </c>
      <c r="B56" s="6" t="s">
        <v>100</v>
      </c>
      <c r="C56" s="7" t="s">
        <v>96</v>
      </c>
      <c r="D56" s="8" t="s">
        <v>72</v>
      </c>
      <c r="E56" s="8" t="s">
        <v>6</v>
      </c>
      <c r="F56" s="6" t="s">
        <v>101</v>
      </c>
      <c r="G56" s="17"/>
      <c r="H56" s="8" t="s">
        <v>38</v>
      </c>
    </row>
    <row r="57" ht="22.5" customHeight="1">
      <c r="A57" s="15">
        <v>56.0</v>
      </c>
      <c r="B57" s="16" t="s">
        <v>102</v>
      </c>
      <c r="C57" s="7" t="s">
        <v>92</v>
      </c>
      <c r="D57" s="8" t="s">
        <v>93</v>
      </c>
      <c r="E57" s="8" t="s">
        <v>4</v>
      </c>
      <c r="F57" s="6" t="s">
        <v>19</v>
      </c>
      <c r="G57" s="17"/>
      <c r="H57" s="8" t="s">
        <v>20</v>
      </c>
    </row>
    <row r="58" ht="22.5" customHeight="1">
      <c r="A58" s="5">
        <v>57.0</v>
      </c>
      <c r="B58" s="16" t="s">
        <v>103</v>
      </c>
      <c r="C58" s="7" t="s">
        <v>92</v>
      </c>
      <c r="D58" s="8" t="s">
        <v>93</v>
      </c>
      <c r="E58" s="8" t="s">
        <v>6</v>
      </c>
      <c r="F58" s="6" t="s">
        <v>104</v>
      </c>
      <c r="G58" s="17"/>
      <c r="H58" s="8" t="s">
        <v>29</v>
      </c>
    </row>
    <row r="59" ht="22.5" customHeight="1">
      <c r="A59" s="5">
        <v>58.0</v>
      </c>
      <c r="B59" s="6" t="s">
        <v>105</v>
      </c>
      <c r="C59" s="7" t="s">
        <v>92</v>
      </c>
      <c r="D59" s="8" t="s">
        <v>93</v>
      </c>
      <c r="E59" s="8" t="s">
        <v>4</v>
      </c>
      <c r="F59" s="6" t="s">
        <v>19</v>
      </c>
      <c r="G59" s="17"/>
      <c r="H59" s="8" t="s">
        <v>38</v>
      </c>
    </row>
    <row r="60" ht="22.5" customHeight="1">
      <c r="A60" s="13">
        <v>59.0</v>
      </c>
      <c r="B60" s="6" t="s">
        <v>106</v>
      </c>
      <c r="C60" s="7" t="s">
        <v>92</v>
      </c>
      <c r="D60" s="8" t="s">
        <v>93</v>
      </c>
      <c r="E60" s="8" t="s">
        <v>6</v>
      </c>
      <c r="F60" s="6" t="s">
        <v>23</v>
      </c>
      <c r="G60" s="17"/>
      <c r="H60" s="8" t="s">
        <v>20</v>
      </c>
    </row>
    <row r="61" ht="22.5" customHeight="1">
      <c r="A61" s="15">
        <v>60.0</v>
      </c>
      <c r="B61" s="16" t="s">
        <v>107</v>
      </c>
      <c r="C61" s="7" t="s">
        <v>108</v>
      </c>
      <c r="D61" s="8" t="s">
        <v>93</v>
      </c>
      <c r="E61" s="8" t="s">
        <v>4</v>
      </c>
      <c r="F61" s="6" t="s">
        <v>23</v>
      </c>
      <c r="G61" s="17"/>
      <c r="H61" s="8" t="s">
        <v>29</v>
      </c>
    </row>
    <row r="62" ht="22.5" customHeight="1">
      <c r="A62" s="5">
        <v>61.0</v>
      </c>
      <c r="B62" s="16" t="s">
        <v>109</v>
      </c>
      <c r="C62" s="7" t="s">
        <v>108</v>
      </c>
      <c r="D62" s="8" t="s">
        <v>93</v>
      </c>
      <c r="E62" s="8" t="s">
        <v>6</v>
      </c>
      <c r="F62" s="6" t="s">
        <v>23</v>
      </c>
      <c r="G62" s="17"/>
      <c r="H62" s="8" t="s">
        <v>38</v>
      </c>
    </row>
    <row r="63" ht="22.5" customHeight="1">
      <c r="A63" s="15">
        <v>62.0</v>
      </c>
      <c r="B63" s="16" t="s">
        <v>110</v>
      </c>
      <c r="C63" s="7" t="s">
        <v>108</v>
      </c>
      <c r="D63" s="8" t="s">
        <v>93</v>
      </c>
      <c r="E63" s="8" t="s">
        <v>4</v>
      </c>
      <c r="F63" s="6" t="s">
        <v>19</v>
      </c>
      <c r="G63" s="17"/>
      <c r="H63" s="8" t="s">
        <v>20</v>
      </c>
    </row>
    <row r="64" ht="22.5" customHeight="1">
      <c r="A64" s="5">
        <v>63.0</v>
      </c>
      <c r="B64" s="16" t="s">
        <v>111</v>
      </c>
      <c r="C64" s="7" t="s">
        <v>108</v>
      </c>
      <c r="D64" s="8" t="s">
        <v>93</v>
      </c>
      <c r="E64" s="8" t="s">
        <v>6</v>
      </c>
      <c r="F64" s="6" t="s">
        <v>41</v>
      </c>
      <c r="G64" s="17"/>
      <c r="H64" s="8" t="s">
        <v>29</v>
      </c>
    </row>
    <row r="65" ht="22.5" customHeight="1">
      <c r="A65" s="5">
        <v>64.0</v>
      </c>
      <c r="B65" s="16" t="s">
        <v>112</v>
      </c>
      <c r="C65" s="7" t="s">
        <v>108</v>
      </c>
      <c r="D65" s="8" t="s">
        <v>93</v>
      </c>
      <c r="E65" s="8" t="s">
        <v>4</v>
      </c>
      <c r="F65" s="6" t="s">
        <v>23</v>
      </c>
      <c r="G65" s="17"/>
      <c r="H65" s="8" t="s">
        <v>38</v>
      </c>
    </row>
    <row r="66" ht="22.5" customHeight="1">
      <c r="A66" s="15">
        <v>65.0</v>
      </c>
      <c r="B66" s="16" t="s">
        <v>113</v>
      </c>
      <c r="C66" s="7" t="s">
        <v>108</v>
      </c>
      <c r="D66" s="8" t="s">
        <v>93</v>
      </c>
      <c r="E66" s="8" t="s">
        <v>6</v>
      </c>
      <c r="F66" s="6" t="s">
        <v>23</v>
      </c>
      <c r="G66" s="17"/>
      <c r="H66" s="8" t="s">
        <v>20</v>
      </c>
    </row>
    <row r="67" ht="22.5" customHeight="1">
      <c r="A67" s="5">
        <v>66.0</v>
      </c>
      <c r="B67" s="6" t="s">
        <v>66</v>
      </c>
      <c r="C67" s="7" t="s">
        <v>114</v>
      </c>
      <c r="D67" s="8" t="s">
        <v>115</v>
      </c>
      <c r="E67" s="8" t="s">
        <v>8</v>
      </c>
      <c r="F67" s="6" t="s">
        <v>23</v>
      </c>
      <c r="G67" s="9" t="b">
        <v>0</v>
      </c>
      <c r="H67" s="8" t="s">
        <v>20</v>
      </c>
    </row>
    <row r="68" ht="22.5" customHeight="1">
      <c r="A68" s="5">
        <v>67.0</v>
      </c>
      <c r="B68" s="6" t="s">
        <v>116</v>
      </c>
      <c r="C68" s="7" t="s">
        <v>114</v>
      </c>
      <c r="D68" s="8" t="s">
        <v>115</v>
      </c>
      <c r="E68" s="8" t="s">
        <v>4</v>
      </c>
      <c r="F68" s="6" t="s">
        <v>41</v>
      </c>
      <c r="G68" s="17"/>
      <c r="H68" s="8" t="s">
        <v>29</v>
      </c>
    </row>
    <row r="69" ht="22.5" customHeight="1">
      <c r="A69" s="13">
        <v>68.0</v>
      </c>
      <c r="B69" s="16" t="s">
        <v>117</v>
      </c>
      <c r="C69" s="7" t="s">
        <v>114</v>
      </c>
      <c r="D69" s="8" t="s">
        <v>115</v>
      </c>
      <c r="E69" s="8" t="s">
        <v>6</v>
      </c>
      <c r="F69" s="6" t="s">
        <v>19</v>
      </c>
      <c r="G69" s="17"/>
      <c r="H69" s="8" t="s">
        <v>38</v>
      </c>
    </row>
    <row r="70" ht="22.5" customHeight="1">
      <c r="A70" s="15">
        <v>69.0</v>
      </c>
      <c r="B70" s="6" t="s">
        <v>118</v>
      </c>
      <c r="C70" s="7" t="s">
        <v>114</v>
      </c>
      <c r="D70" s="8" t="s">
        <v>115</v>
      </c>
      <c r="E70" s="8" t="s">
        <v>8</v>
      </c>
      <c r="F70" s="6" t="s">
        <v>23</v>
      </c>
      <c r="G70" s="9" t="b">
        <v>0</v>
      </c>
      <c r="H70" s="8" t="s">
        <v>20</v>
      </c>
    </row>
    <row r="71" ht="22.5" customHeight="1">
      <c r="A71" s="5">
        <v>70.0</v>
      </c>
      <c r="B71" s="6" t="s">
        <v>119</v>
      </c>
      <c r="C71" s="7" t="s">
        <v>114</v>
      </c>
      <c r="D71" s="8" t="s">
        <v>18</v>
      </c>
      <c r="E71" s="8" t="s">
        <v>6</v>
      </c>
      <c r="F71" s="6" t="s">
        <v>23</v>
      </c>
      <c r="G71" s="9" t="b">
        <v>1</v>
      </c>
      <c r="H71" s="8" t="s">
        <v>20</v>
      </c>
    </row>
    <row r="72" ht="22.5" customHeight="1">
      <c r="A72" s="15">
        <v>71.0</v>
      </c>
      <c r="B72" s="6" t="s">
        <v>120</v>
      </c>
      <c r="C72" s="7" t="s">
        <v>114</v>
      </c>
      <c r="D72" s="8" t="s">
        <v>115</v>
      </c>
      <c r="E72" s="8" t="s">
        <v>6</v>
      </c>
      <c r="F72" s="6" t="s">
        <v>23</v>
      </c>
      <c r="G72" s="9" t="b">
        <v>0</v>
      </c>
      <c r="H72" s="8" t="s">
        <v>38</v>
      </c>
    </row>
    <row r="73" ht="22.5" customHeight="1">
      <c r="A73" s="5">
        <v>72.0</v>
      </c>
      <c r="B73" s="6" t="s">
        <v>121</v>
      </c>
      <c r="C73" s="7" t="s">
        <v>114</v>
      </c>
      <c r="D73" s="8" t="s">
        <v>115</v>
      </c>
      <c r="E73" s="8" t="s">
        <v>8</v>
      </c>
      <c r="F73" s="6" t="s">
        <v>23</v>
      </c>
      <c r="G73" s="9" t="b">
        <v>0</v>
      </c>
      <c r="H73" s="8" t="s">
        <v>20</v>
      </c>
    </row>
    <row r="74" ht="22.5" customHeight="1">
      <c r="A74" s="5">
        <v>73.0</v>
      </c>
      <c r="B74" s="6" t="s">
        <v>122</v>
      </c>
      <c r="C74" s="7" t="s">
        <v>114</v>
      </c>
      <c r="D74" s="8" t="s">
        <v>115</v>
      </c>
      <c r="E74" s="8" t="s">
        <v>8</v>
      </c>
      <c r="F74" s="6" t="s">
        <v>41</v>
      </c>
      <c r="G74" s="17"/>
      <c r="H74" s="8" t="s">
        <v>29</v>
      </c>
    </row>
    <row r="75" ht="22.5" customHeight="1">
      <c r="A75" s="15">
        <v>74.0</v>
      </c>
      <c r="B75" s="6" t="s">
        <v>123</v>
      </c>
      <c r="C75" s="7" t="s">
        <v>114</v>
      </c>
      <c r="D75" s="8" t="s">
        <v>115</v>
      </c>
      <c r="E75" s="8" t="s">
        <v>4</v>
      </c>
      <c r="F75" s="6" t="s">
        <v>41</v>
      </c>
      <c r="G75" s="9" t="b">
        <v>0</v>
      </c>
      <c r="H75" s="8" t="s">
        <v>38</v>
      </c>
    </row>
    <row r="76" ht="22.5" customHeight="1">
      <c r="A76" s="5">
        <v>75.0</v>
      </c>
      <c r="B76" s="16" t="s">
        <v>94</v>
      </c>
      <c r="C76" s="7" t="s">
        <v>114</v>
      </c>
      <c r="D76" s="8" t="s">
        <v>115</v>
      </c>
      <c r="E76" s="8" t="s">
        <v>4</v>
      </c>
      <c r="F76" s="6" t="s">
        <v>19</v>
      </c>
      <c r="G76" s="17"/>
      <c r="H76" s="8" t="s">
        <v>20</v>
      </c>
    </row>
    <row r="77" ht="22.5" customHeight="1">
      <c r="A77" s="5">
        <v>76.0</v>
      </c>
      <c r="B77" s="6" t="s">
        <v>124</v>
      </c>
      <c r="C77" s="7" t="s">
        <v>114</v>
      </c>
      <c r="D77" s="8" t="s">
        <v>115</v>
      </c>
      <c r="E77" s="8" t="s">
        <v>4</v>
      </c>
      <c r="F77" s="6" t="s">
        <v>19</v>
      </c>
      <c r="G77" s="17"/>
      <c r="H77" s="8" t="s">
        <v>29</v>
      </c>
    </row>
    <row r="78" ht="22.5" customHeight="1">
      <c r="A78" s="13">
        <v>77.0</v>
      </c>
      <c r="B78" s="6" t="s">
        <v>125</v>
      </c>
      <c r="C78" s="7" t="s">
        <v>34</v>
      </c>
      <c r="D78" s="8" t="s">
        <v>115</v>
      </c>
      <c r="E78" s="8" t="s">
        <v>8</v>
      </c>
      <c r="F78" s="6" t="s">
        <v>104</v>
      </c>
      <c r="G78" s="17"/>
      <c r="H78" s="8" t="s">
        <v>38</v>
      </c>
    </row>
    <row r="79" ht="22.5" customHeight="1">
      <c r="A79" s="15">
        <v>78.0</v>
      </c>
      <c r="B79" s="16" t="s">
        <v>126</v>
      </c>
      <c r="C79" s="7" t="s">
        <v>34</v>
      </c>
      <c r="D79" s="8" t="s">
        <v>115</v>
      </c>
      <c r="E79" s="8" t="s">
        <v>6</v>
      </c>
      <c r="F79" s="6" t="s">
        <v>23</v>
      </c>
      <c r="G79" s="17"/>
      <c r="H79" s="8" t="s">
        <v>20</v>
      </c>
    </row>
    <row r="80" ht="22.5" customHeight="1">
      <c r="A80" s="5">
        <v>79.0</v>
      </c>
      <c r="B80" s="16" t="s">
        <v>127</v>
      </c>
      <c r="C80" s="7" t="s">
        <v>34</v>
      </c>
      <c r="D80" s="8" t="s">
        <v>115</v>
      </c>
      <c r="E80" s="8" t="s">
        <v>8</v>
      </c>
      <c r="F80" s="6" t="s">
        <v>23</v>
      </c>
      <c r="G80" s="17"/>
      <c r="H80" s="8" t="s">
        <v>29</v>
      </c>
    </row>
    <row r="81" ht="22.5" customHeight="1">
      <c r="A81" s="15">
        <v>80.0</v>
      </c>
      <c r="B81" s="16" t="s">
        <v>128</v>
      </c>
      <c r="C81" s="7" t="s">
        <v>34</v>
      </c>
      <c r="D81" s="8" t="s">
        <v>115</v>
      </c>
      <c r="E81" s="8" t="s">
        <v>6</v>
      </c>
      <c r="F81" s="6" t="s">
        <v>23</v>
      </c>
      <c r="G81" s="9" t="b">
        <v>1</v>
      </c>
      <c r="H81" s="8" t="s">
        <v>20</v>
      </c>
    </row>
    <row r="82" ht="22.5" customHeight="1">
      <c r="A82" s="5">
        <v>81.0</v>
      </c>
      <c r="B82" s="16" t="s">
        <v>129</v>
      </c>
      <c r="C82" s="7" t="s">
        <v>34</v>
      </c>
      <c r="D82" s="8" t="s">
        <v>115</v>
      </c>
      <c r="E82" s="8" t="s">
        <v>6</v>
      </c>
      <c r="F82" s="6" t="s">
        <v>23</v>
      </c>
      <c r="G82" s="17"/>
      <c r="H82" s="8" t="s">
        <v>20</v>
      </c>
    </row>
    <row r="83" ht="22.5" customHeight="1">
      <c r="A83" s="5">
        <v>82.0</v>
      </c>
      <c r="B83" s="16" t="s">
        <v>130</v>
      </c>
      <c r="C83" s="7" t="s">
        <v>34</v>
      </c>
      <c r="D83" s="8" t="s">
        <v>115</v>
      </c>
      <c r="E83" s="8" t="s">
        <v>6</v>
      </c>
      <c r="F83" s="6" t="s">
        <v>23</v>
      </c>
      <c r="G83" s="17"/>
      <c r="H83" s="8" t="s">
        <v>29</v>
      </c>
    </row>
    <row r="84" ht="22.5" customHeight="1">
      <c r="A84" s="15">
        <v>83.0</v>
      </c>
      <c r="B84" s="16" t="s">
        <v>131</v>
      </c>
      <c r="C84" s="7" t="s">
        <v>34</v>
      </c>
      <c r="D84" s="8" t="s">
        <v>115</v>
      </c>
      <c r="E84" s="8" t="s">
        <v>6</v>
      </c>
      <c r="F84" s="6" t="s">
        <v>23</v>
      </c>
      <c r="G84" s="17"/>
      <c r="H84" s="8" t="s">
        <v>38</v>
      </c>
    </row>
    <row r="85" ht="22.5" customHeight="1">
      <c r="A85" s="5">
        <v>84.0</v>
      </c>
      <c r="B85" s="16" t="s">
        <v>132</v>
      </c>
      <c r="C85" s="7" t="s">
        <v>22</v>
      </c>
      <c r="D85" s="8" t="s">
        <v>115</v>
      </c>
      <c r="E85" s="8" t="s">
        <v>6</v>
      </c>
      <c r="F85" s="6" t="s">
        <v>23</v>
      </c>
      <c r="G85" s="17"/>
      <c r="H85" s="8" t="s">
        <v>20</v>
      </c>
    </row>
    <row r="86" ht="22.5" customHeight="1">
      <c r="A86" s="5">
        <v>85.0</v>
      </c>
      <c r="B86" s="16" t="s">
        <v>133</v>
      </c>
      <c r="C86" s="7" t="s">
        <v>22</v>
      </c>
      <c r="D86" s="8" t="s">
        <v>115</v>
      </c>
      <c r="E86" s="8" t="s">
        <v>6</v>
      </c>
      <c r="F86" s="6" t="s">
        <v>23</v>
      </c>
      <c r="G86" s="17"/>
      <c r="H86" s="8" t="s">
        <v>29</v>
      </c>
    </row>
    <row r="87" ht="22.5" customHeight="1">
      <c r="A87" s="13">
        <v>86.0</v>
      </c>
      <c r="B87" s="16" t="s">
        <v>134</v>
      </c>
      <c r="C87" s="7" t="s">
        <v>87</v>
      </c>
      <c r="D87" s="8" t="s">
        <v>115</v>
      </c>
      <c r="E87" s="8" t="s">
        <v>6</v>
      </c>
      <c r="F87" s="6" t="s">
        <v>104</v>
      </c>
      <c r="G87" s="17"/>
      <c r="H87" s="8" t="s">
        <v>38</v>
      </c>
    </row>
    <row r="88" ht="22.5" customHeight="1">
      <c r="A88" s="15">
        <v>87.0</v>
      </c>
      <c r="B88" s="16" t="s">
        <v>135</v>
      </c>
      <c r="C88" s="7" t="s">
        <v>136</v>
      </c>
      <c r="D88" s="8" t="s">
        <v>115</v>
      </c>
      <c r="E88" s="8" t="s">
        <v>8</v>
      </c>
      <c r="F88" s="6" t="s">
        <v>23</v>
      </c>
      <c r="G88" s="17"/>
      <c r="H88" s="8" t="s">
        <v>20</v>
      </c>
    </row>
    <row r="89" ht="22.5" customHeight="1">
      <c r="A89" s="5">
        <v>88.0</v>
      </c>
      <c r="B89" s="16" t="s">
        <v>137</v>
      </c>
      <c r="C89" s="7" t="s">
        <v>136</v>
      </c>
      <c r="D89" s="8" t="s">
        <v>115</v>
      </c>
      <c r="E89" s="8" t="s">
        <v>8</v>
      </c>
      <c r="F89" s="6" t="s">
        <v>23</v>
      </c>
      <c r="G89" s="17"/>
      <c r="H89" s="8" t="s">
        <v>29</v>
      </c>
    </row>
    <row r="90" ht="22.5" customHeight="1">
      <c r="A90" s="15">
        <v>89.0</v>
      </c>
      <c r="B90" s="16" t="s">
        <v>138</v>
      </c>
      <c r="C90" s="7" t="s">
        <v>136</v>
      </c>
      <c r="D90" s="8" t="s">
        <v>115</v>
      </c>
      <c r="E90" s="8" t="s">
        <v>8</v>
      </c>
      <c r="F90" s="6" t="s">
        <v>23</v>
      </c>
      <c r="G90" s="17"/>
      <c r="H90" s="8" t="s">
        <v>38</v>
      </c>
    </row>
    <row r="91" ht="22.5" customHeight="1">
      <c r="A91" s="5">
        <v>90.0</v>
      </c>
      <c r="B91" s="16" t="s">
        <v>139</v>
      </c>
      <c r="C91" s="7" t="s">
        <v>140</v>
      </c>
      <c r="D91" s="8" t="s">
        <v>141</v>
      </c>
      <c r="E91" s="8" t="s">
        <v>6</v>
      </c>
      <c r="F91" s="6" t="s">
        <v>19</v>
      </c>
      <c r="G91" s="17"/>
      <c r="H91" s="8" t="s">
        <v>20</v>
      </c>
    </row>
    <row r="92" ht="22.5" customHeight="1">
      <c r="A92" s="5">
        <v>91.0</v>
      </c>
      <c r="B92" s="6" t="s">
        <v>142</v>
      </c>
      <c r="C92" s="7" t="s">
        <v>140</v>
      </c>
      <c r="D92" s="8" t="s">
        <v>141</v>
      </c>
      <c r="E92" s="8" t="s">
        <v>6</v>
      </c>
      <c r="F92" s="6" t="s">
        <v>19</v>
      </c>
      <c r="G92" s="9" t="b">
        <v>0</v>
      </c>
      <c r="H92" s="8" t="s">
        <v>29</v>
      </c>
    </row>
    <row r="93" ht="22.5" customHeight="1">
      <c r="A93" s="15">
        <v>92.0</v>
      </c>
      <c r="B93" s="6" t="s">
        <v>143</v>
      </c>
      <c r="C93" s="7" t="s">
        <v>140</v>
      </c>
      <c r="D93" s="8" t="s">
        <v>141</v>
      </c>
      <c r="E93" s="8" t="s">
        <v>6</v>
      </c>
      <c r="F93" s="6" t="s">
        <v>19</v>
      </c>
      <c r="G93" s="9" t="b">
        <v>0</v>
      </c>
      <c r="H93" s="8" t="s">
        <v>38</v>
      </c>
    </row>
    <row r="94" ht="22.5" customHeight="1">
      <c r="A94" s="5">
        <v>93.0</v>
      </c>
      <c r="B94" s="6" t="s">
        <v>144</v>
      </c>
      <c r="C94" s="7" t="s">
        <v>140</v>
      </c>
      <c r="D94" s="8" t="s">
        <v>141</v>
      </c>
      <c r="E94" s="8" t="s">
        <v>6</v>
      </c>
      <c r="F94" s="6" t="s">
        <v>19</v>
      </c>
      <c r="G94" s="9" t="b">
        <v>0</v>
      </c>
      <c r="H94" s="8" t="s">
        <v>20</v>
      </c>
    </row>
    <row r="95" ht="22.5" customHeight="1">
      <c r="A95" s="5">
        <v>94.0</v>
      </c>
      <c r="B95" s="6" t="s">
        <v>145</v>
      </c>
      <c r="C95" s="7" t="s">
        <v>140</v>
      </c>
      <c r="D95" s="8" t="s">
        <v>141</v>
      </c>
      <c r="E95" s="8" t="s">
        <v>6</v>
      </c>
      <c r="F95" s="6" t="s">
        <v>19</v>
      </c>
      <c r="G95" s="17"/>
      <c r="H95" s="8" t="s">
        <v>29</v>
      </c>
    </row>
    <row r="96" ht="22.5" customHeight="1">
      <c r="A96" s="13">
        <v>95.0</v>
      </c>
      <c r="B96" s="6" t="s">
        <v>146</v>
      </c>
      <c r="C96" s="7" t="s">
        <v>140</v>
      </c>
      <c r="D96" s="8" t="s">
        <v>141</v>
      </c>
      <c r="E96" s="8" t="s">
        <v>6</v>
      </c>
      <c r="F96" s="6" t="s">
        <v>19</v>
      </c>
      <c r="G96" s="9" t="b">
        <v>0</v>
      </c>
      <c r="H96" s="8" t="s">
        <v>38</v>
      </c>
    </row>
    <row r="97" ht="22.5" customHeight="1">
      <c r="A97" s="15">
        <v>96.0</v>
      </c>
      <c r="B97" s="16" t="s">
        <v>147</v>
      </c>
      <c r="C97" s="7" t="s">
        <v>140</v>
      </c>
      <c r="D97" s="8" t="s">
        <v>141</v>
      </c>
      <c r="E97" s="8" t="s">
        <v>6</v>
      </c>
      <c r="F97" s="6" t="s">
        <v>19</v>
      </c>
      <c r="G97" s="17"/>
      <c r="H97" s="8" t="s">
        <v>20</v>
      </c>
    </row>
    <row r="98" ht="22.5" customHeight="1">
      <c r="A98" s="5">
        <v>97.0</v>
      </c>
      <c r="B98" s="16" t="s">
        <v>148</v>
      </c>
      <c r="C98" s="7" t="s">
        <v>149</v>
      </c>
      <c r="D98" s="8" t="s">
        <v>141</v>
      </c>
      <c r="E98" s="8" t="s">
        <v>6</v>
      </c>
      <c r="F98" s="6" t="s">
        <v>19</v>
      </c>
      <c r="G98" s="17"/>
      <c r="H98" s="8" t="s">
        <v>29</v>
      </c>
    </row>
    <row r="99" ht="22.5" customHeight="1">
      <c r="A99" s="15">
        <v>98.0</v>
      </c>
      <c r="B99" s="16" t="s">
        <v>58</v>
      </c>
      <c r="C99" s="7" t="s">
        <v>149</v>
      </c>
      <c r="D99" s="8" t="s">
        <v>141</v>
      </c>
      <c r="E99" s="8" t="s">
        <v>6</v>
      </c>
      <c r="F99" s="6" t="s">
        <v>19</v>
      </c>
      <c r="G99" s="9" t="b">
        <v>0</v>
      </c>
      <c r="H99" s="8" t="s">
        <v>38</v>
      </c>
    </row>
    <row r="100" ht="22.5" customHeight="1">
      <c r="A100" s="5">
        <v>99.0</v>
      </c>
      <c r="B100" s="16" t="s">
        <v>150</v>
      </c>
      <c r="C100" s="7" t="s">
        <v>149</v>
      </c>
      <c r="D100" s="8" t="s">
        <v>141</v>
      </c>
      <c r="E100" s="8" t="s">
        <v>6</v>
      </c>
      <c r="F100" s="6" t="s">
        <v>19</v>
      </c>
      <c r="G100" s="9" t="b">
        <v>0</v>
      </c>
      <c r="H100" s="8" t="s">
        <v>20</v>
      </c>
    </row>
    <row r="101" ht="22.5" customHeight="1">
      <c r="A101" s="5">
        <v>100.0</v>
      </c>
      <c r="B101" s="16" t="s">
        <v>110</v>
      </c>
      <c r="C101" s="7" t="s">
        <v>151</v>
      </c>
      <c r="D101" s="8" t="s">
        <v>141</v>
      </c>
      <c r="E101" s="8" t="s">
        <v>6</v>
      </c>
      <c r="F101" s="6" t="s">
        <v>19</v>
      </c>
      <c r="G101" s="9" t="b">
        <v>0</v>
      </c>
      <c r="H101" s="8" t="s">
        <v>29</v>
      </c>
    </row>
    <row r="102" ht="22.5" customHeight="1">
      <c r="A102" s="15">
        <v>101.0</v>
      </c>
      <c r="B102" s="16" t="s">
        <v>152</v>
      </c>
      <c r="C102" s="7" t="s">
        <v>151</v>
      </c>
      <c r="D102" s="8" t="s">
        <v>141</v>
      </c>
      <c r="E102" s="8" t="s">
        <v>6</v>
      </c>
      <c r="F102" s="6" t="s">
        <v>19</v>
      </c>
      <c r="G102" s="17"/>
      <c r="H102" s="8" t="s">
        <v>38</v>
      </c>
    </row>
    <row r="103" ht="22.5" customHeight="1">
      <c r="A103" s="5">
        <v>102.0</v>
      </c>
      <c r="B103" s="6" t="s">
        <v>153</v>
      </c>
      <c r="C103" s="7" t="s">
        <v>151</v>
      </c>
      <c r="D103" s="8" t="s">
        <v>141</v>
      </c>
      <c r="E103" s="8" t="s">
        <v>6</v>
      </c>
      <c r="F103" s="6" t="s">
        <v>19</v>
      </c>
      <c r="G103" s="17"/>
      <c r="H103" s="8" t="s">
        <v>20</v>
      </c>
    </row>
    <row r="104" ht="22.5" customHeight="1">
      <c r="A104" s="5">
        <v>103.0</v>
      </c>
      <c r="B104" s="16" t="s">
        <v>154</v>
      </c>
      <c r="C104" s="7" t="s">
        <v>151</v>
      </c>
      <c r="D104" s="8" t="s">
        <v>141</v>
      </c>
      <c r="E104" s="8" t="s">
        <v>6</v>
      </c>
      <c r="F104" s="6" t="s">
        <v>19</v>
      </c>
      <c r="G104" s="17"/>
      <c r="H104" s="8" t="s">
        <v>29</v>
      </c>
    </row>
  </sheetData>
  <customSheetViews>
    <customSheetView guid="{BD466CA8-1F20-45C9-8CE1-207E307A955D}" filter="1" showAutoFilter="1">
      <autoFilter ref="$A$1:$H$104"/>
    </customSheetView>
    <customSheetView guid="{BD54AE9F-B7D4-466A-BB48-13386E1AF3BA}" filter="1" showAutoFilter="1">
      <autoFilter ref="$A$1:$H$104">
        <filterColumn colId="6">
          <filters>
            <filter val="TRUE"/>
          </filters>
        </filterColumn>
        <sortState ref="A1:H104">
          <sortCondition ref="C1:C104"/>
          <sortCondition ref="F1:F104"/>
          <sortCondition ref="E1:E104"/>
        </sortState>
      </autoFilter>
    </customSheetView>
    <customSheetView guid="{8F6BC006-22E1-4192-AB21-D179737D3F87}" filter="1" showAutoFilter="1">
      <autoFilter ref="$A$1:$H$104"/>
    </customSheetView>
  </customSheetViews>
  <dataValidations>
    <dataValidation type="list" allowBlank="1" sqref="H2:H104">
      <formula1>"1 день,2 день,3 день"</formula1>
    </dataValidation>
    <dataValidation allowBlank="1" showDropDown="1" sqref="B2:B104"/>
    <dataValidation type="list" allowBlank="1" sqref="C2:C104">
      <formula1>"Известность и внимание,Проектирование решений,Оказание услуг,Обратная связь,Поиск партнеров,Ведение переговоров,Совместные действия,Договорённости,Диагностика ситуации,Обмен мнениями,Усиление сообществ,Вдохновение,Развлечение,Сбор средств ,Планирование,Об"&amp;"учение,Обмен опытом"</formula1>
    </dataValidation>
    <dataValidation type="list" allowBlank="1" sqref="D2:D104">
      <formula1>"Линия 1 «Как сделать НКО заметной»,Линия 2 «Как запустить новый сервис»,Линия 3 «Как собрать партнёров»,Линия 4 «Как собирать информацию»,Линия 5 «Как вовлечь жителей»,Линия 6 «Как усилить НКО»"</formula1>
    </dataValidation>
    <dataValidation type="list" allowBlank="1" sqref="E2:E104">
      <formula1>"Город,Учреждение,Помещение 1,Помещение 2"</formula1>
    </dataValidation>
    <dataValidation allowBlank="1" showDropDown="1" sqref="F2:F104"/>
  </dataValidations>
  <hyperlinks>
    <hyperlink r:id="rId1" ref="B5"/>
    <hyperlink r:id="rId2" ref="B6"/>
    <hyperlink r:id="rId3" ref="B7"/>
    <hyperlink r:id="rId4" ref="B10"/>
    <hyperlink r:id="rId5" ref="B11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31"/>
    <hyperlink r:id="rId19" ref="B33"/>
    <hyperlink r:id="rId20" ref="B35"/>
    <hyperlink r:id="rId21" ref="B36"/>
    <hyperlink r:id="rId22" ref="B37"/>
    <hyperlink r:id="rId23" ref="B38"/>
    <hyperlink r:id="rId24" ref="B39"/>
    <hyperlink r:id="rId25" ref="B41"/>
    <hyperlink r:id="rId26" ref="B50"/>
    <hyperlink r:id="rId27" ref="B57"/>
    <hyperlink r:id="rId28" location="heading=h.n4wat4jnbpr1" ref="B58"/>
    <hyperlink r:id="rId29" ref="B61"/>
    <hyperlink r:id="rId30" ref="B62"/>
    <hyperlink r:id="rId31" ref="B63"/>
    <hyperlink r:id="rId32" ref="B64"/>
    <hyperlink r:id="rId33" ref="B65"/>
    <hyperlink r:id="rId34" ref="B66"/>
    <hyperlink r:id="rId35" ref="B69"/>
    <hyperlink r:id="rId36" ref="B76"/>
    <hyperlink r:id="rId37" ref="B79"/>
    <hyperlink r:id="rId38" ref="B80"/>
    <hyperlink r:id="rId39" ref="B81"/>
    <hyperlink r:id="rId40" ref="B82"/>
    <hyperlink r:id="rId41" ref="B83"/>
    <hyperlink r:id="rId42" ref="B84"/>
    <hyperlink r:id="rId43" ref="B85"/>
    <hyperlink r:id="rId44" ref="B86"/>
    <hyperlink r:id="rId45" ref="B87"/>
    <hyperlink r:id="rId46" ref="B88"/>
    <hyperlink r:id="rId47" ref="B89"/>
    <hyperlink r:id="rId48" ref="B90"/>
    <hyperlink r:id="rId49" ref="B91"/>
    <hyperlink r:id="rId50" ref="B97"/>
    <hyperlink r:id="rId51" ref="B98"/>
    <hyperlink r:id="rId52" ref="B99"/>
    <hyperlink r:id="rId53" ref="B100"/>
    <hyperlink r:id="rId54" ref="B101"/>
    <hyperlink r:id="rId55" ref="B102"/>
    <hyperlink r:id="rId56" ref="B104"/>
  </hyperlinks>
  <drawing r:id="rId57"/>
  <tableParts count="1">
    <tablePart r:id="rId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3" max="3" width="28.25"/>
    <col customWidth="1" min="4" max="4" width="30.75"/>
    <col customWidth="1" min="5" max="5" width="38.13"/>
    <col customWidth="1" min="6" max="6" width="36.63"/>
  </cols>
  <sheetData>
    <row r="1" ht="22.5" customHeight="1">
      <c r="A1" s="1" t="s">
        <v>0</v>
      </c>
      <c r="B1" s="3" t="s">
        <v>2</v>
      </c>
      <c r="C1" s="3" t="s">
        <v>4</v>
      </c>
      <c r="D1" s="3" t="s">
        <v>6</v>
      </c>
      <c r="E1" s="3" t="s">
        <v>8</v>
      </c>
      <c r="F1" s="3" t="s">
        <v>10</v>
      </c>
    </row>
    <row r="2" ht="22.5" customHeight="1">
      <c r="A2" s="5" t="s">
        <v>13</v>
      </c>
      <c r="B2" s="5" t="s">
        <v>15</v>
      </c>
      <c r="C2" s="10" t="str">
        <f>IFERROR(__xludf.DUMMYFUNCTION("IFERROR(
  SORT(
    FILTER(
      'Полный список'!B2:B1000,
      'Полный список'!G2:G1000=TRUE,
      'Полный список'!H2:H1000=""1 день"",
      'Полный список'!E2:E1000=""Помещение 1""
    ),
    FILTER(
      'Полный список'!A2:A1000,
      'Полный сп"&amp;"исок'!G2:G1000=TRUE,
      'Полный список'!H2:H1000=""1 день"",
      'Полный список'!E2:E1000=""Помещение 1""
    ),
    TRUE
  ),
""""
)
"),"Публичные истории изменений")</f>
        <v>Публичные истории изменений</v>
      </c>
      <c r="D2" s="11" t="str">
        <f>IFERROR(__xludf.DUMMYFUNCTION("IFERROR(
  SORT(
    FILTER('Полный список'!B2:B1000,'Полный список'!G2:G1000=TRUE,'Полный список'!H2:H1000=""1 день"",'Полный список'!E2:E1000=""Помещение 2""),
    FILTER('Полный список'!A2:A1000,'Полный список'!G2:G1000=TRUE,'Полный список'!H2:H1000="""&amp;"1 день"",'Полный список'!E2:E1000=""Помещение 2""),
    TRUE
  ),
""""
)
"),"Сессия вопросов и ответов")</f>
        <v>Сессия вопросов и ответов</v>
      </c>
      <c r="E2" s="10" t="str">
        <f>IFERROR(__xludf.DUMMYFUNCTION("IFERROR(
  SORT(
    FILTER('Полный список'!B2:B1000,'Полный список'!G2:G1000=TRUE,'Полный список'!H2:H1000=""1 день"",'Полный список'!E2:E1000=""Город""),
    FILTER('Полный список'!A2:A1000,'Полный список'!G2:G1000=TRUE,'Полный список'!H2:H1000=""1 день"&amp;""",'Полный список'!E2:E1000=""Город""),
    TRUE
  ),
""""
)
"),"Эко-патруль / общественный патруль")</f>
        <v>Эко-патруль / общественный патруль</v>
      </c>
      <c r="F2" s="10" t="str">
        <f>IFERROR(__xludf.DUMMYFUNCTION("IFERROR(
  SORT(
    FILTER('Полный список'!B2:B1000,'Полный список'!G2:G1000=TRUE,'Полный список'!H2:H1000=""1 день"",'Полный список'!E2:E1000=""Учреждение""),
    FILTER('Полный список'!A2:A1000,'Полный список'!G2:G1000=TRUE,'Полный список'!H2:H1000=""1"&amp;" день"",'Полный список'!E2:E1000=""Учреждение""),
    TRUE
  ),
""""
)
"),"")</f>
        <v/>
      </c>
    </row>
    <row r="3" ht="22.5" customHeight="1">
      <c r="A3" s="5" t="s">
        <v>13</v>
      </c>
      <c r="B3" s="5" t="s">
        <v>24</v>
      </c>
      <c r="C3" s="11" t="str">
        <f>IFERROR(__xludf.DUMMYFUNCTION("""COMPUTED_VALUE"""),"Публичное интервью")</f>
        <v>Публичное интервью</v>
      </c>
      <c r="D3" s="10" t="str">
        <f>IFERROR(__xludf.DUMMYFUNCTION("""COMPUTED_VALUE"""),"Ремонтное кафе")</f>
        <v>Ремонтное кафе</v>
      </c>
    </row>
    <row r="4" ht="22.5" customHeight="1">
      <c r="A4" s="5" t="s">
        <v>13</v>
      </c>
      <c r="B4" s="5" t="s">
        <v>27</v>
      </c>
      <c r="C4" s="11" t="str">
        <f>IFERROR(__xludf.DUMMYFUNCTION("""COMPUTED_VALUE"""),"Обратный питч")</f>
        <v>Обратный питч</v>
      </c>
      <c r="D4" s="11" t="str">
        <f>IFERROR(__xludf.DUMMYFUNCTION("""COMPUTED_VALUE"""),"Кинопоказ")</f>
        <v>Кинопоказ</v>
      </c>
    </row>
    <row r="5" ht="22.5" customHeight="1">
      <c r="A5" s="5" t="s">
        <v>30</v>
      </c>
      <c r="B5" s="5" t="s">
        <v>31</v>
      </c>
      <c r="C5" s="11" t="str">
        <f>IFERROR(__xludf.DUMMYFUNCTION("""COMPUTED_VALUE"""),"Тематический бизнес-завтрак")</f>
        <v>Тематический бизнес-завтрак</v>
      </c>
    </row>
    <row r="6" ht="22.5" customHeight="1">
      <c r="B6" s="5" t="s">
        <v>32</v>
      </c>
    </row>
    <row r="7" ht="22.5" customHeight="1"/>
    <row r="8" ht="22.5" customHeight="1"/>
  </sheetData>
  <hyperlinks>
    <hyperlink r:id="rId1" ref="C3"/>
    <hyperlink r:id="rId2" ref="C4"/>
    <hyperlink r:id="rId3" ref="D4"/>
    <hyperlink r:id="rId4" ref="C5"/>
  </hyperlinks>
  <drawing r:id="rId5"/>
  <tableParts count="2"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13"/>
    <col customWidth="1" min="3" max="3" width="33.13"/>
    <col customWidth="1" min="4" max="4" width="30.75"/>
    <col customWidth="1" min="5" max="5" width="38.13"/>
    <col customWidth="1" min="6" max="6" width="19.75"/>
  </cols>
  <sheetData>
    <row r="1" ht="22.5" customHeight="1">
      <c r="A1" s="1" t="s">
        <v>0</v>
      </c>
      <c r="B1" s="3" t="s">
        <v>2</v>
      </c>
      <c r="C1" s="3" t="s">
        <v>4</v>
      </c>
      <c r="D1" s="3" t="s">
        <v>6</v>
      </c>
      <c r="E1" s="3" t="s">
        <v>8</v>
      </c>
      <c r="F1" s="4" t="s">
        <v>10</v>
      </c>
    </row>
    <row r="2" ht="22.5" customHeight="1">
      <c r="C2" s="10" t="str">
        <f>ЕСЛИОШИБКА(
  SORT(
    FILTER(
      'Полный список'!B2:B;
      'Полный список'!G2:G=ИСТИНА;
      'Полный список'!H2:H="2 день";
      'Полный список'!E2:E="Помещение 1"
    );
    FILTER(
      'Полный список'!A2:A;F5
      'Полный список'!G2:G=ИСТИНА;
      'Полный список'!H2:H="2 день";
      'Полный список'!E2:E="Помещение 1"
    );
    ИСТИНА
  );
""
)
</f>
        <v>#ERROR!</v>
      </c>
      <c r="D2" s="11" t="str">
        <f>IFERROR(__xludf.DUMMYFUNCTION("IFERROR(
  SORT(
    FILTER('Полный список'!B2:B1000,'Полный список'!G2:G1000=TRUE,'Полный список'!H2:H1000=""2 день"",'Полный список'!E2:E1000=""Помещение 2""),
    FILTER('Полный список'!A2:A1000,'Полный список'!G2:G1000=TRUE,'Полный список'!H2:H1000="""&amp;"2 день"",'Полный список'!E2:E1000=""Помещение 2""),
    TRUE
  ),
""""
)
"),"Городская лаборатория «из опыта жителей»")</f>
        <v>Городская лаборатория «из опыта жителей»</v>
      </c>
      <c r="E2" s="10" t="str">
        <f>IFERROR(__xludf.DUMMYFUNCTION("IFERROR(
  SORT(
    FILTER('Полный список'!B2:B1000,'Полный список'!G2:G1000=TRUE,'Полный список'!H2:H1000=""2 день"",'Полный список'!E2:E1000=""Город""),
    FILTER('Полный список'!A2:A1000,'Полный список'!G2:G1000=TRUE,'Полный список'!H2:H1000=""2 день"&amp;""",'Полный список'!E2:E1000=""Город""),
    TRUE
  ),
""""
)
"),"")</f>
        <v/>
      </c>
      <c r="F2" s="12" t="str">
        <f>IFERROR(__xludf.DUMMYFUNCTION("IFERROR(
  SORT(
    FILTER('Полный список'!B2:B1000,'Полный список'!G2:G1000=TRUE,'Полный список'!H2:H1000=""1 день"",'Полный список'!E2:E1000=""Учреждение""),
    FILTER('Полный список'!A2:A1000,'Полный список'!G2:G1000=TRUE,'Полный список'!H2:H1000=""1"&amp;" день"",'Полный список'!E2:E1000=""Учреждение""),
    TRUE
  ),
""""
)
"),"")</f>
        <v/>
      </c>
    </row>
    <row r="3" ht="22.5" customHeight="1"/>
    <row r="4" ht="22.5" customHeight="1"/>
    <row r="5" ht="22.5" customHeight="1"/>
    <row r="6" ht="22.5" customHeight="1"/>
    <row r="7" ht="22.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3" max="3" width="47.0"/>
    <col customWidth="1" min="4" max="4" width="45.63"/>
    <col customWidth="1" min="5" max="5" width="45.25"/>
    <col customWidth="1" min="6" max="6" width="38.25"/>
  </cols>
  <sheetData>
    <row r="1" ht="22.5" customHeight="1">
      <c r="A1" s="1" t="s">
        <v>0</v>
      </c>
      <c r="B1" s="3" t="s">
        <v>2</v>
      </c>
      <c r="C1" s="3" t="s">
        <v>4</v>
      </c>
      <c r="D1" s="3" t="s">
        <v>6</v>
      </c>
      <c r="E1" s="3" t="s">
        <v>8</v>
      </c>
      <c r="F1" s="3" t="s">
        <v>10</v>
      </c>
    </row>
    <row r="2" ht="22.5" customHeight="1">
      <c r="C2" s="10" t="str">
        <f>IFERROR(__xludf.DUMMYFUNCTION("IFERROR(
  SORT(
    FILTER(
      'Полный список'!B2:B1000,
      'Полный список'!G2:G1000=TRUE,
      'Полный список'!H2:H1000=""3 день"",
      'Полный список'!E2:E1000=""Помещение 1""
    ),
    FILTER(
      'Полный список'!A2:A1000,
      'Полный сп"&amp;"исок'!G2:G1000=TRUE,
      'Полный список'!H2:H1000=""3 день"",
      'Полный список'!E2:E1000=""Помещение 1""
    ),
    TRUE
  ),
""""
)
"),"Выставка «Город и люди: что меняется»")</f>
        <v>Выставка «Город и люди: что меняется»</v>
      </c>
      <c r="D2" s="11" t="str">
        <f>IFERROR(__xludf.DUMMYFUNCTION("IFERROR(
  SORT(
    FILTER('Полный список'!B2:B1000,'Полный список'!G2:G1000=TRUE,'Полный список'!H2:H1000=""3 день"",'Полный список'!E2:E1000=""Помещение 2""),
    FILTER('Полный список'!A2:A1000,'Полный список'!G2:G1000=TRUE,'Полный список'!H2:H1000="""&amp;"3 день"",'Полный список'!E2:E1000=""Помещение 2""),
    TRUE
  ),
""""
)
"),"Открытый микрофон")</f>
        <v>Открытый микрофон</v>
      </c>
      <c r="E2" s="10" t="str">
        <f>IFERROR(__xludf.DUMMYFUNCTION("IFERROR(
  SORT(
    FILTER('Полный список'!B2:B1000,'Полный список'!G2:G1000=TRUE,'Полный список'!H2:H1000=""3 день"",'Полный список'!E2:E1000=""Город""),
    FILTER('Полный список'!A2:A1000,'Полный список'!G2:G1000=TRUE,'Полный список'!H2:H1000=""3 день"&amp;""",'Полный список'!E2:E1000=""Город""),
    TRUE
  ),
""""
)
"),"")</f>
        <v/>
      </c>
      <c r="F2" s="10" t="str">
        <f>IFERROR(__xludf.DUMMYFUNCTION("IFERROR(
  SORT(
    FILTER('Полный список'!B2:B1000,'Полный список'!G2:G1000=TRUE,'Полный список'!H2:H1000=""1 день"",'Полный список'!E2:E1000=""Учреждение""),
    FILTER('Полный список'!A2:A1000,'Полный список'!G2:G1000=TRUE,'Полный список'!H2:H1000=""1"&amp;" день"",'Полный список'!E2:E1000=""Учреждение""),
    TRUE
  ),
""""
)
"),"")</f>
        <v/>
      </c>
    </row>
    <row r="3" ht="22.5" customHeight="1"/>
    <row r="4" ht="22.5" customHeight="1"/>
    <row r="5" ht="22.5" customHeight="1"/>
    <row r="6" ht="22.5" customHeight="1"/>
    <row r="7" ht="22.5" customHeight="1"/>
    <row r="8" ht="22.5" customHeight="1"/>
  </sheetData>
  <drawing r:id="rId1"/>
  <tableParts count="1">
    <tablePart r:id="rId3"/>
  </tableParts>
</worksheet>
</file>